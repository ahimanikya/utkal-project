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4e2fc562c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9d42b2bae0ab45b4"/>
    <x:sheet xmlns:r="http://schemas.openxmlformats.org/officeDocument/2006/relationships" name="Quotes" sheetId="2" r:id="R6a41f4afb03c4113"/>
    <x:sheet xmlns:r="http://schemas.openxmlformats.org/officeDocument/2006/relationships" name="Expenses" sheetId="3" r:id="Rdfe7fb79185a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—&quot;"/>
    <x:numFmt numFmtId="201" formatCode="0.0%"/>
    <x:numFmt numFmtId="202" formatCode="dd-mmm-yy"/>
  </x:numFmts>
  <x:fonts count="8">
    <x:font>
      <x:sz val="11"/>
      <x:name val="Carlito"/>
    </x:font>
    <x:font>
      <x:sz val="11"/>
      <x:color rgb="FF233C40"/>
      <x:name val="Arial"/>
    </x:font>
    <x:font>
      <x:b/>
      <x:sz val="16"/>
      <x:color rgb="FF195567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  <x:font>
      <x:b/>
      <x:sz val="11"/>
      <x:color rgb="FF233C40"/>
      <x:name val="Arial"/>
    </x:font>
    <x:font>
      <x:b/>
      <x:sz val="11"/>
      <x:color rgb="FF0000FF"/>
      <x:name val="Arial"/>
    </x:font>
    <x:font>
      <x:sz val="11"/>
      <x:color rgb="FF008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9"/>
      </x:patternFill>
    </x:fill>
    <x:fill>
      <x:patternFill patternType="solid">
        <x:fgColor rgb="FF19556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2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7ec914cee4e55" /><Relationship Type="http://schemas.openxmlformats.org/officeDocument/2006/relationships/theme" Target="/xl/theme/theme1.xml" Id="R131e53e08c9046e6" /><Relationship Type="http://schemas.openxmlformats.org/officeDocument/2006/relationships/sharedStrings" Target="/xl/sharedStrings.xml" Id="Rc6e6a05b367546de" /><Relationship Type="http://schemas.openxmlformats.org/officeDocument/2006/relationships/worksheet" Target="/xl/worksheets/sheet1.xml" Id="R9d42b2bae0ab45b4" /><Relationship Type="http://schemas.openxmlformats.org/officeDocument/2006/relationships/worksheet" Target="/xl/worksheets/sheet2.xml" Id="R6a41f4afb03c4113" /><Relationship Type="http://schemas.openxmlformats.org/officeDocument/2006/relationships/worksheet" Target="/xl/worksheets/sheet3.xml" Id="Rdfe7fb79185a4d78" /></Relationships>
</file>

<file path=xl/tables/table1.xml><?xml version="1.0" encoding="utf-8"?>
<x:table xmlns:x="http://schemas.openxmlformats.org/spreadsheetml/2006/main" id="1" name="SupplierQuotes" displayName="SupplierQuotes" ref="A6:K66" headerRowCount="1" totalsRowCount="0" totalsRowShown="0">
  <x:tableColumns count="11">
    <x:tableColumn id="1" name="Quote ID"/>
    <x:tableColumn id="2" name="Category"/>
    <x:tableColumn id="3" name="Scope ID / item"/>
    <x:tableColumn id="4" name="Supplier alias"/>
    <x:tableColumn id="5" name="Quote date"/>
    <x:tableColumn id="6" name="Valid until"/>
    <x:tableColumn id="7" name="Gross total INR"/>
    <x:tableColumn id="8" name="Comparison status"/>
    <x:tableColumn id="9" name="Restricted reference"/>
    <x:tableColumn id="10" name="Inclusions / cancellation"/>
    <x:tableColumn id="11" name="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Expenses" displayName="FieldExpenses" ref="A6:K66" headerRowCount="1" totalsRowCount="0" totalsRowShown="0">
  <x:tableColumns count="11">
    <x:tableColumn id="1" name="Expense ID"/>
    <x:tableColumn id="2" name="Category"/>
    <x:tableColumn id="3" name="Scope ID / item"/>
    <x:tableColumn id="4" name="Quote ID"/>
    <x:tableColumn id="5" name="Agreed date"/>
    <x:tableColumn id="6" name="Committed INR"/>
    <x:tableColumn id="7" name="Net paid INR"/>
    <x:tableColumn id="8" name="Unpaid INR"/>
    <x:tableColumn id="9" name="Approval reference"/>
    <x:tableColumn id="10" name="Receipt reference"/>
    <x:tableColumn id="11" name="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f090ecc09c4d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a835478b2840fc" /></Relationships>
</file>

<file path=xl/worksheets/sheet1.xml><?xml version="1.0" encoding="utf-8"?>
<x:worksheet xmlns:x="http://schemas.openxmlformats.org/spreadsheetml/2006/main">
  <x:sheetPr>
    <x:tabColor rgb="FF195567"/>
  </x:sheetPr>
  <x:sheetViews>
    <x:sheetView showGridLines="0" workbookViewId="0"/>
  </x:sheetViews>
  <x:sheetFormatPr defaultRowHeight="15"/>
  <x:cols>
    <x:col min="1" max="1" width="33" hidden="0" customWidth="1"/>
    <x:col min="2" max="2" width="10" hidden="0" customWidth="1"/>
    <x:col min="3" max="3" width="2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Utkal fieldwork costs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 t="str">
        <x:v>Six proposed experiences. INR. Estimates are not spending approval.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3" customHeight="1">
      <x:c r="A5" s="2" t="str">
        <x:v>Planning allowance</x:v>
      </x:c>
      <x:c r="B5" s="2"/>
      <x:c r="C5" s="2"/>
      <x:c r="D5" s="2"/>
      <x:c r="E5" s="17" t="n">
        <x:f>E25</x:f>
        <x:v>59340</x:v>
      </x:c>
      <x:c r="F5" s="18"/>
      <x:c r="G5" s="18"/>
      <x:c r="H5" s="18"/>
    </x:row>
    <x:row r="6" ht="23" customHeight="1">
      <x:c r="A6" s="2" t="str">
        <x:v>Approved cash ceiling</x:v>
      </x:c>
      <x:c r="B6" s="2"/>
      <x:c r="C6" s="2"/>
      <x:c r="D6" s="2"/>
      <x:c r="E6" s="19"/>
      <x:c r="F6" s="18"/>
      <x:c r="G6" s="18"/>
      <x:c r="H6" s="18"/>
    </x:row>
    <x:row r="7" ht="23" customHeight="1">
      <x:c r="A7" s="2" t="str">
        <x:v>Funding decision reference</x:v>
      </x:c>
      <x:c r="B7" s="2"/>
      <x:c r="C7" s="2"/>
      <x:c r="D7" s="2"/>
      <x:c r="E7" s="19"/>
      <x:c r="F7" s="18"/>
      <x:c r="G7" s="18"/>
      <x:c r="H7" s="18"/>
    </x:row>
    <x:row r="8" ht="23" customHeight="1">
      <x:c r="A8" s="2" t="str">
        <x:v>Recorded commitments</x:v>
      </x:c>
      <x:c r="B8" s="2"/>
      <x:c r="C8" s="2"/>
      <x:c r="D8" s="2"/>
      <x:c r="E8" s="17" t="str">
        <x:f>IF(COUNT(Expenses!F7:F66)=0,"n.a.",SUM(Expenses!F7:F66))</x:f>
        <x:v>n.a.</x:v>
      </x:c>
      <x:c r="F8" s="18"/>
      <x:c r="G8" s="18"/>
      <x:c r="H8" s="18"/>
    </x:row>
    <x:row r="9" ht="23" customHeight="1">
      <x:c r="A9" s="2" t="str">
        <x:v>Net payments entered</x:v>
      </x:c>
      <x:c r="B9" s="2"/>
      <x:c r="C9" s="2"/>
      <x:c r="D9" s="2"/>
      <x:c r="E9" s="17" t="str">
        <x:f>IF(COUNT(Expenses!G7:G66)=0,"n.a.",SUM(Expenses!G7:G66))</x:f>
        <x:v>n.a.</x:v>
      </x:c>
      <x:c r="F9" s="18"/>
      <x:c r="G9" s="18"/>
      <x:c r="H9" s="18"/>
    </x:row>
    <x:row r="10" ht="23" customHeight="1">
      <x:c r="A10" s="2" t="str">
        <x:v>Ceiling less commitments</x:v>
      </x:c>
      <x:c r="B10" s="2"/>
      <x:c r="C10" s="2"/>
      <x:c r="D10" s="2"/>
      <x:c r="E10" s="17" t="str">
        <x:f>IF(OR(COUNT(E6)=0,E7="",COUNT(Expenses!F7:F66)=0),"n.a.",E6-E8)</x:f>
        <x:v>n.a.</x:v>
      </x:c>
      <x:c r="F10" s="18"/>
      <x:c r="G10" s="18"/>
      <x:c r="H10" s="18"/>
    </x:row>
    <x:row r="11" ht="23" customHeight="1">
      <x:c r="A11" s="2"/>
      <x:c r="B11" s="2"/>
      <x:c r="C11" s="2"/>
      <x:c r="D11" s="2"/>
      <x:c r="E11" s="18"/>
      <x:c r="F11" s="18"/>
      <x:c r="G11" s="18"/>
      <x:c r="H11" s="18"/>
    </x:row>
    <x:row r="12" ht="23" customHeight="1">
      <x:c r="A12" s="2" t="str">
        <x:v>Amber cells are editable. Blank amounts mean unknown; totals cover entered rows only.</x:v>
      </x:c>
      <x:c r="B12" s="2"/>
      <x:c r="C12" s="2"/>
      <x:c r="D12" s="2"/>
      <x:c r="E12" s="18"/>
      <x:c r="F12" s="18"/>
      <x:c r="G12" s="18"/>
      <x:c r="H12" s="18"/>
    </x:row>
    <x:row r="13" ht="23" customHeight="1">
      <x:c r="A13" s="2"/>
      <x:c r="B13" s="2"/>
      <x:c r="C13" s="2"/>
      <x:c r="D13" s="2"/>
      <x:c r="E13" s="18"/>
      <x:c r="F13" s="18"/>
      <x:c r="G13" s="18"/>
      <x:c r="H13" s="18"/>
    </x:row>
    <x:row r="14" ht="38" customHeight="1">
      <x:c r="A14" s="11" t="str">
        <x:v>Category</x:v>
      </x:c>
      <x:c r="B14" s="11" t="str">
        <x:v>Quantity</x:v>
      </x:c>
      <x:c r="C14" s="11" t="str">
        <x:v>Unit</x:v>
      </x:c>
      <x:c r="D14" s="11" t="str">
        <x:v>Rate INR</x:v>
      </x:c>
      <x:c r="E14" s="20" t="str">
        <x:v>Estimate INR</x:v>
      </x:c>
      <x:c r="F14" s="20" t="str">
        <x:v>Selected quotes INR</x:v>
      </x:c>
      <x:c r="G14" s="20" t="str">
        <x:v>Committed INR</x:v>
      </x:c>
      <x:c r="H14" s="20" t="str">
        <x:v>Net paid INR</x:v>
      </x:c>
    </x:row>
    <x:row r="15" ht="23" customHeight="1">
      <x:c r="A15" s="2" t="str">
        <x:v>Coordinator</x:v>
      </x:c>
      <x:c r="B15" s="5" t="n">
        <x:v>6</x:v>
      </x:c>
      <x:c r="C15" s="2" t="str">
        <x:v>person-day</x:v>
      </x:c>
      <x:c r="D15" s="7" t="n">
        <x:v>2000</x:v>
      </x:c>
      <x:c r="E15" s="17" t="n">
        <x:f>IF(COUNT(B15,D15)&lt;2,"n.a.",B15*D15)</x:f>
        <x:v>12000</x:v>
      </x:c>
      <x:c r="F15" s="21" t="str">
        <x:f>IF(COUNTIFS(Quotes!$B$7:$B$66,$A15,Quotes!$H$7:$H$66,"Selected")=0,"n.a.",IF(COUNTIFS(Quotes!$B$7:$B$66,$A15,Quotes!$H$7:$H$66,"Selected",Quotes!$G$7:$G$66,"&gt;=0")&lt;&gt;COUNTIFS(Quotes!$B$7:$B$66,$A15,Quotes!$H$7:$H$66,"Selected"),"n.a.",SUMIFS(Quotes!$G$7:$G$66,Quotes!$B$7:$B$66,$A15,Quotes!$H$7:$H$66,"Selected")))</x:f>
        <x:v>n.a.</x:v>
      </x:c>
      <x:c r="G15" s="21" t="str">
        <x:f>IF(COUNTIFS(Expenses!$B$7:$B$66,$A15,Expenses!$F$7:$F$66,"&gt;=0")=0,"n.a.",SUMIFS(Expenses!$F$7:$F$66,Expenses!$B$7:$B$66,$A15))</x:f>
        <x:v>n.a.</x:v>
      </x:c>
      <x:c r="H15" s="21" t="str">
        <x:f>IF(COUNTIFS(Expenses!$B$7:$B$66,$A15,Expenses!$G$7:$G$66,"&gt;=0")=0,"n.a.",SUMIFS(Expenses!$G$7:$G$66,Expenses!$B$7:$B$66,$A15))</x:f>
        <x:v>n.a.</x:v>
      </x:c>
    </x:row>
    <x:row r="16" ht="23" customHeight="1">
      <x:c r="A16" s="2" t="str">
        <x:v>Field researcher</x:v>
      </x:c>
      <x:c r="B16" s="5" t="n">
        <x:v>3</x:v>
      </x:c>
      <x:c r="C16" s="2" t="str">
        <x:v>person-day</x:v>
      </x:c>
      <x:c r="D16" s="7" t="n">
        <x:v>1500</x:v>
      </x:c>
      <x:c r="E16" s="17" t="n">
        <x:f>IF(COUNT(B16,D16)&lt;2,"n.a.",B16*D16)</x:f>
        <x:v>4500</x:v>
      </x:c>
      <x:c r="F16" s="21" t="str">
        <x:f>IF(COUNTIFS(Quotes!$B$7:$B$66,$A16,Quotes!$H$7:$H$66,"Selected")=0,"n.a.",IF(COUNTIFS(Quotes!$B$7:$B$66,$A16,Quotes!$H$7:$H$66,"Selected",Quotes!$G$7:$G$66,"&gt;=0")&lt;&gt;COUNTIFS(Quotes!$B$7:$B$66,$A16,Quotes!$H$7:$H$66,"Selected"),"n.a.",SUMIFS(Quotes!$G$7:$G$66,Quotes!$B$7:$B$66,$A16,Quotes!$H$7:$H$66,"Selected")))</x:f>
        <x:v>n.a.</x:v>
      </x:c>
      <x:c r="G16" s="21" t="str">
        <x:f>IF(COUNTIFS(Expenses!$B$7:$B$66,$A16,Expenses!$F$7:$F$66,"&gt;=0")=0,"n.a.",SUMIFS(Expenses!$F$7:$F$66,Expenses!$B$7:$B$66,$A16))</x:f>
        <x:v>n.a.</x:v>
      </x:c>
      <x:c r="H16" s="21" t="str">
        <x:f>IF(COUNTIFS(Expenses!$B$7:$B$66,$A16,Expenses!$G$7:$G$66,"&gt;=0")=0,"n.a.",SUMIFS(Expenses!$G$7:$G$66,Expenses!$B$7:$B$66,$A16))</x:f>
        <x:v>n.a.</x:v>
      </x:c>
    </x:row>
    <x:row r="17" ht="23" customHeight="1">
      <x:c r="A17" s="2" t="str">
        <x:v>Local vehicle</x:v>
      </x:c>
      <x:c r="B17" s="5" t="n">
        <x:v>3</x:v>
      </x:c>
      <x:c r="C17" s="2" t="str">
        <x:v>day</x:v>
      </x:c>
      <x:c r="D17" s="7" t="n">
        <x:v>3500</x:v>
      </x:c>
      <x:c r="E17" s="17" t="n">
        <x:f>IF(COUNT(B17,D17)&lt;2,"n.a.",B17*D17)</x:f>
        <x:v>10500</x:v>
      </x:c>
      <x:c r="F17" s="21" t="str">
        <x:f>IF(COUNTIFS(Quotes!$B$7:$B$66,$A17,Quotes!$H$7:$H$66,"Selected")=0,"n.a.",IF(COUNTIFS(Quotes!$B$7:$B$66,$A17,Quotes!$H$7:$H$66,"Selected",Quotes!$G$7:$G$66,"&gt;=0")&lt;&gt;COUNTIFS(Quotes!$B$7:$B$66,$A17,Quotes!$H$7:$H$66,"Selected"),"n.a.",SUMIFS(Quotes!$G$7:$G$66,Quotes!$B$7:$B$66,$A17,Quotes!$H$7:$H$66,"Selected")))</x:f>
        <x:v>n.a.</x:v>
      </x:c>
      <x:c r="G17" s="21" t="str">
        <x:f>IF(COUNTIFS(Expenses!$B$7:$B$66,$A17,Expenses!$F$7:$F$66,"&gt;=0")=0,"n.a.",SUMIFS(Expenses!$F$7:$F$66,Expenses!$B$7:$B$66,$A17))</x:f>
        <x:v>n.a.</x:v>
      </x:c>
      <x:c r="H17" s="21" t="str">
        <x:f>IF(COUNTIFS(Expenses!$B$7:$B$66,$A17,Expenses!$G$7:$G$66,"&gt;=0")=0,"n.a.",SUMIFS(Expenses!$G$7:$G$66,Expenses!$B$7:$B$66,$A17))</x:f>
        <x:v>n.a.</x:v>
      </x:c>
    </x:row>
    <x:row r="18" ht="23" customHeight="1">
      <x:c r="A18" s="2" t="str">
        <x:v>Host time / materials</x:v>
      </x:c>
      <x:c r="B18" s="5" t="n">
        <x:v>6</x:v>
      </x:c>
      <x:c r="C18" s="2" t="str">
        <x:v>experience allowance</x:v>
      </x:c>
      <x:c r="D18" s="7" t="n">
        <x:v>1500</x:v>
      </x:c>
      <x:c r="E18" s="17" t="n">
        <x:f>IF(COUNT(B18,D18)&lt;2,"n.a.",B18*D18)</x:f>
        <x:v>9000</x:v>
      </x:c>
      <x:c r="F18" s="21" t="str">
        <x:f>IF(COUNTIFS(Quotes!$B$7:$B$66,$A18,Quotes!$H$7:$H$66,"Selected")=0,"n.a.",IF(COUNTIFS(Quotes!$B$7:$B$66,$A18,Quotes!$H$7:$H$66,"Selected",Quotes!$G$7:$G$66,"&gt;=0")&lt;&gt;COUNTIFS(Quotes!$B$7:$B$66,$A18,Quotes!$H$7:$H$66,"Selected"),"n.a.",SUMIFS(Quotes!$G$7:$G$66,Quotes!$B$7:$B$66,$A18,Quotes!$H$7:$H$66,"Selected")))</x:f>
        <x:v>n.a.</x:v>
      </x:c>
      <x:c r="G18" s="21" t="str">
        <x:f>IF(COUNTIFS(Expenses!$B$7:$B$66,$A18,Expenses!$F$7:$F$66,"&gt;=0")=0,"n.a.",SUMIFS(Expenses!$F$7:$F$66,Expenses!$B$7:$B$66,$A18))</x:f>
        <x:v>n.a.</x:v>
      </x:c>
      <x:c r="H18" s="21" t="str">
        <x:f>IF(COUNTIFS(Expenses!$B$7:$B$66,$A18,Expenses!$G$7:$G$66,"&gt;=0")=0,"n.a.",SUMIFS(Expenses!$G$7:$G$66,Expenses!$B$7:$B$66,$A18))</x:f>
        <x:v>n.a.</x:v>
      </x:c>
    </x:row>
    <x:row r="19" ht="23" customHeight="1">
      <x:c r="A19" s="2" t="str">
        <x:v>Odia–English interpretation</x:v>
      </x:c>
      <x:c r="B19" s="5" t="n">
        <x:v>2</x:v>
      </x:c>
      <x:c r="C19" s="2" t="str">
        <x:v>day</x:v>
      </x:c>
      <x:c r="D19" s="7" t="n">
        <x:v>1500</x:v>
      </x:c>
      <x:c r="E19" s="17" t="n">
        <x:f>IF(COUNT(B19,D19)&lt;2,"n.a.",B19*D19)</x:f>
        <x:v>3000</x:v>
      </x:c>
      <x:c r="F19" s="21" t="str">
        <x:f>IF(COUNTIFS(Quotes!$B$7:$B$66,$A19,Quotes!$H$7:$H$66,"Selected")=0,"n.a.",IF(COUNTIFS(Quotes!$B$7:$B$66,$A19,Quotes!$H$7:$H$66,"Selected",Quotes!$G$7:$G$66,"&gt;=0")&lt;&gt;COUNTIFS(Quotes!$B$7:$B$66,$A19,Quotes!$H$7:$H$66,"Selected"),"n.a.",SUMIFS(Quotes!$G$7:$G$66,Quotes!$B$7:$B$66,$A19,Quotes!$H$7:$H$66,"Selected")))</x:f>
        <x:v>n.a.</x:v>
      </x:c>
      <x:c r="G19" s="21" t="str">
        <x:f>IF(COUNTIFS(Expenses!$B$7:$B$66,$A19,Expenses!$F$7:$F$66,"&gt;=0")=0,"n.a.",SUMIFS(Expenses!$F$7:$F$66,Expenses!$B$7:$B$66,$A19))</x:f>
        <x:v>n.a.</x:v>
      </x:c>
      <x:c r="H19" s="21" t="str">
        <x:f>IF(COUNTIFS(Expenses!$B$7:$B$66,$A19,Expenses!$G$7:$G$66,"&gt;=0")=0,"n.a.",SUMIFS(Expenses!$G$7:$G$66,Expenses!$B$7:$B$66,$A19))</x:f>
        <x:v>n.a.</x:v>
      </x:c>
    </x:row>
    <x:row r="20" ht="23" customHeight="1">
      <x:c r="A20" s="2" t="str">
        <x:v>Field meals, water and admissions</x:v>
      </x:c>
      <x:c r="B20" s="5" t="n">
        <x:v>6</x:v>
      </x:c>
      <x:c r="C20" s="2" t="str">
        <x:v>person-day</x:v>
      </x:c>
      <x:c r="D20" s="7" t="n">
        <x:v>600</x:v>
      </x:c>
      <x:c r="E20" s="17" t="n">
        <x:f>IF(COUNT(B20,D20)&lt;2,"n.a.",B20*D20)</x:f>
        <x:v>3600</x:v>
      </x:c>
      <x:c r="F20" s="21" t="str">
        <x:f>IF(COUNTIFS(Quotes!$B$7:$B$66,$A20,Quotes!$H$7:$H$66,"Selected")=0,"n.a.",IF(COUNTIFS(Quotes!$B$7:$B$66,$A20,Quotes!$H$7:$H$66,"Selected",Quotes!$G$7:$G$66,"&gt;=0")&lt;&gt;COUNTIFS(Quotes!$B$7:$B$66,$A20,Quotes!$H$7:$H$66,"Selected"),"n.a.",SUMIFS(Quotes!$G$7:$G$66,Quotes!$B$7:$B$66,$A20,Quotes!$H$7:$H$66,"Selected")))</x:f>
        <x:v>n.a.</x:v>
      </x:c>
      <x:c r="G20" s="21" t="str">
        <x:f>IF(COUNTIFS(Expenses!$B$7:$B$66,$A20,Expenses!$F$7:$F$66,"&gt;=0")=0,"n.a.",SUMIFS(Expenses!$F$7:$F$66,Expenses!$B$7:$B$66,$A20))</x:f>
        <x:v>n.a.</x:v>
      </x:c>
      <x:c r="H20" s="21" t="str">
        <x:f>IF(COUNTIFS(Expenses!$B$7:$B$66,$A20,Expenses!$G$7:$G$66,"&gt;=0")=0,"n.a.",SUMIFS(Expenses!$G$7:$G$66,Expenses!$B$7:$B$66,$A20))</x:f>
        <x:v>n.a.</x:v>
      </x:c>
    </x:row>
    <x:row r="21" ht="23" customHeight="1">
      <x:c r="A21" s="2" t="str">
        <x:v>Editorial and data review</x:v>
      </x:c>
      <x:c r="B21" s="5" t="n">
        <x:v>12</x:v>
      </x:c>
      <x:c r="C21" s="2" t="str">
        <x:v>hour</x:v>
      </x:c>
      <x:c r="D21" s="7" t="n">
        <x:v>500</x:v>
      </x:c>
      <x:c r="E21" s="17" t="n">
        <x:f>IF(COUNT(B21,D21)&lt;2,"n.a.",B21*D21)</x:f>
        <x:v>6000</x:v>
      </x:c>
      <x:c r="F21" s="21" t="str">
        <x:f>IF(COUNTIFS(Quotes!$B$7:$B$66,$A21,Quotes!$H$7:$H$66,"Selected")=0,"n.a.",IF(COUNTIFS(Quotes!$B$7:$B$66,$A21,Quotes!$H$7:$H$66,"Selected",Quotes!$G$7:$G$66,"&gt;=0")&lt;&gt;COUNTIFS(Quotes!$B$7:$B$66,$A21,Quotes!$H$7:$H$66,"Selected"),"n.a.",SUMIFS(Quotes!$G$7:$G$66,Quotes!$B$7:$B$66,$A21,Quotes!$H$7:$H$66,"Selected")))</x:f>
        <x:v>n.a.</x:v>
      </x:c>
      <x:c r="G21" s="21" t="str">
        <x:f>IF(COUNTIFS(Expenses!$B$7:$B$66,$A21,Expenses!$F$7:$F$66,"&gt;=0")=0,"n.a.",SUMIFS(Expenses!$F$7:$F$66,Expenses!$B$7:$B$66,$A21))</x:f>
        <x:v>n.a.</x:v>
      </x:c>
      <x:c r="H21" s="21" t="str">
        <x:f>IF(COUNTIFS(Expenses!$B$7:$B$66,$A21,Expenses!$G$7:$G$66,"&gt;=0")=0,"n.a.",SUMIFS(Expenses!$G$7:$G$66,Expenses!$B$7:$B$66,$A21))</x:f>
        <x:v>n.a.</x:v>
      </x:c>
    </x:row>
    <x:row r="22" ht="23" customHeight="1">
      <x:c r="A22" s="2" t="str">
        <x:v>Access adjustments</x:v>
      </x:c>
      <x:c r="B22" s="5" t="n">
        <x:v>1</x:v>
      </x:c>
      <x:c r="C22" s="2" t="str">
        <x:v>reserve</x:v>
      </x:c>
      <x:c r="D22" s="7" t="n">
        <x:v>3000</x:v>
      </x:c>
      <x:c r="E22" s="17" t="n">
        <x:f>IF(COUNT(B22,D22)&lt;2,"n.a.",B22*D22)</x:f>
        <x:v>3000</x:v>
      </x:c>
      <x:c r="F22" s="21" t="str">
        <x:f>IF(COUNTIFS(Quotes!$B$7:$B$66,$A22,Quotes!$H$7:$H$66,"Selected")=0,"n.a.",IF(COUNTIFS(Quotes!$B$7:$B$66,$A22,Quotes!$H$7:$H$66,"Selected",Quotes!$G$7:$G$66,"&gt;=0")&lt;&gt;COUNTIFS(Quotes!$B$7:$B$66,$A22,Quotes!$H$7:$H$66,"Selected"),"n.a.",SUMIFS(Quotes!$G$7:$G$66,Quotes!$B$7:$B$66,$A22,Quotes!$H$7:$H$66,"Selected")))</x:f>
        <x:v>n.a.</x:v>
      </x:c>
      <x:c r="G22" s="21" t="str">
        <x:f>IF(COUNTIFS(Expenses!$B$7:$B$66,$A22,Expenses!$F$7:$F$66,"&gt;=0")=0,"n.a.",SUMIFS(Expenses!$F$7:$F$66,Expenses!$B$7:$B$66,$A22))</x:f>
        <x:v>n.a.</x:v>
      </x:c>
      <x:c r="H22" s="21" t="str">
        <x:f>IF(COUNTIFS(Expenses!$B$7:$B$66,$A22,Expenses!$G$7:$G$66,"&gt;=0")=0,"n.a.",SUMIFS(Expenses!$G$7:$G$66,Expenses!$B$7:$B$66,$A22))</x:f>
        <x:v>n.a.</x:v>
      </x:c>
    </x:row>
    <x:row r="23" ht="23" customHeight="1">
      <x:c r="A23" s="13" t="str">
        <x:v>Subtotal</x:v>
      </x:c>
      <x:c r="B23" s="13"/>
      <x:c r="C23" s="13"/>
      <x:c r="D23" s="13"/>
      <x:c r="E23" s="22" t="n">
        <x:f>IF(COUNT(E15:E22)&lt;8,"n.a.",SUM(E15:E22))</x:f>
        <x:v>51600</x:v>
      </x:c>
      <x:c r="F23" s="22"/>
      <x:c r="G23" s="22"/>
      <x:c r="H23" s="22"/>
    </x:row>
    <x:row r="24" ht="23" customHeight="1">
      <x:c r="A24" s="13" t="str">
        <x:v>Contingency</x:v>
      </x:c>
      <x:c r="B24" s="13"/>
      <x:c r="C24" s="13"/>
      <x:c r="D24" s="14" t="n">
        <x:v>0.15</x:v>
      </x:c>
      <x:c r="E24" s="22" t="n">
        <x:f>IF(ISNUMBER(E23),ROUND(E23*D24,2),"n.a.")</x:f>
        <x:v>7740</x:v>
      </x:c>
      <x:c r="F24" s="22"/>
      <x:c r="G24" s="22"/>
      <x:c r="H24" s="22"/>
    </x:row>
    <x:row r="25" ht="23" customHeight="1">
      <x:c r="A25" s="13" t="str">
        <x:v>Total planning allowance</x:v>
      </x:c>
      <x:c r="B25" s="13"/>
      <x:c r="C25" s="13"/>
      <x:c r="D25" s="13"/>
      <x:c r="E25" s="22" t="n">
        <x:f>IF(ISNUMBER(E23),SUM(E23:E24),"n.a.")</x:f>
        <x:v>59340</x:v>
      </x:c>
      <x:c r="F25" s="22"/>
      <x:c r="G25" s="22"/>
      <x:c r="H25" s="2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 t="str">
        <x:v>Source: Utkal pilot capacity assumptions, approved documentation, 5 October 2026.</x:v>
      </x:c>
      <x:c r="B27" s="2"/>
      <x:c r="C27" s="2"/>
      <x:c r="D27" s="2"/>
      <x:c r="E27" s="2"/>
      <x:c r="F27" s="2"/>
      <x:c r="G27" s="2"/>
      <x:c r="H27" s="2"/>
    </x:row>
    <x:row r="28" ht="23" customHeight="1">
      <x:c r="A28" s="2" t="str">
        <x:v>https://github.com/ahimanikya/utkal-project/pull/135</x:v>
      </x:c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 t="str">
        <x:v>Keep filled copies and supporting receipts in an approved restricted location, outside public Git.</x:v>
      </x:c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</x:sheetData>
  <x:conditionalFormatting sqref="E10:E1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556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33" hidden="0" customWidth="1"/>
    <x:col min="3" max="3" width="26" hidden="0" customWidth="1"/>
    <x:col min="4" max="4" width="22" hidden="0" customWidth="1"/>
    <x:col min="5" max="5" width="16" hidden="0" customWidth="1"/>
    <x:col min="6" max="6" width="16" hidden="0" customWidth="1"/>
    <x:col min="7" max="7" width="18" hidden="0" customWidth="1"/>
    <x:col min="8" max="8" width="19" hidden="0" customWidth="1"/>
    <x:col min="9" max="9" width="25" hidden="0" customWidth="1"/>
    <x:col min="10" max="10" width="30" hidden="0" customWidth="1"/>
    <x:col min="11" max="11" width="2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Supplier quote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 t="str">
        <x:v>One row per offer. Select at most one quote per scope. Selection is not approval to spend.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Gross total includes taxes; record inclusions, exclusions and cancellation terms. Use a restricted reference.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8" customHeight="1">
      <x:c r="A6" s="11" t="str">
        <x:v>Quote ID</x:v>
      </x:c>
      <x:c r="B6" s="11" t="str">
        <x:v>Category</x:v>
      </x:c>
      <x:c r="C6" s="11" t="str">
        <x:v>Scope ID / item</x:v>
      </x:c>
      <x:c r="D6" s="11" t="str">
        <x:v>Supplier alias</x:v>
      </x:c>
      <x:c r="E6" s="11" t="str">
        <x:v>Quote date</x:v>
      </x:c>
      <x:c r="F6" s="11" t="str">
        <x:v>Valid until</x:v>
      </x:c>
      <x:c r="G6" s="11" t="str">
        <x:v>Gross total INR</x:v>
      </x:c>
      <x:c r="H6" s="11" t="str">
        <x:v>Comparison status</x:v>
      </x:c>
      <x:c r="I6" s="11" t="str">
        <x:v>Restricted reference</x:v>
      </x:c>
      <x:c r="J6" s="11" t="str">
        <x:v>Inclusions / cancellation</x:v>
      </x:c>
      <x:c r="K6" s="11" t="str">
        <x:v>Review</x:v>
      </x:c>
    </x:row>
    <x:row r="7" ht="23" customHeight="1">
      <x:c r="A7" s="5"/>
      <x:c r="B7" s="5"/>
      <x:c r="C7" s="5"/>
      <x:c r="D7" s="5"/>
      <x:c r="E7" s="23"/>
      <x:c r="F7" s="23"/>
      <x:c r="G7" s="7"/>
      <x:c r="H7" s="5"/>
      <x:c r="I7" s="5"/>
      <x:c r="J7" s="5"/>
      <x:c r="K7" s="2" t="str">
        <x:f>IF(A7="","",IF(COUNTIFS($A$7:$A$66,A7)&gt;1,"Duplicate quote ID",IF(OR(B7="",C7="",COUNT(G7)=0),"Missing quote fields",IF(AND(H7="Selected",COUNTIFS($C$7:$C$66,C7,$H$7:$H$66,"Selected")&gt;1),"Multiple selected offers","Check validity and terms"))))</x:f>
      </x:c>
    </x:row>
    <x:row r="8" ht="23" customHeight="1">
      <x:c r="A8" s="5"/>
      <x:c r="B8" s="5"/>
      <x:c r="C8" s="5"/>
      <x:c r="D8" s="5"/>
      <x:c r="E8" s="23"/>
      <x:c r="F8" s="23"/>
      <x:c r="G8" s="7"/>
      <x:c r="H8" s="5"/>
      <x:c r="I8" s="5"/>
      <x:c r="J8" s="5"/>
      <x:c r="K8" s="2" t="str">
        <x:f>IF(A8="","",IF(COUNTIFS($A$7:$A$66,A8)&gt;1,"Duplicate quote ID",IF(OR(B8="",C8="",COUNT(G8)=0),"Missing quote fields",IF(AND(H8="Selected",COUNTIFS($C$7:$C$66,C8,$H$7:$H$66,"Selected")&gt;1),"Multiple selected offers","Check validity and terms"))))</x:f>
      </x:c>
    </x:row>
    <x:row r="9" ht="23" customHeight="1">
      <x:c r="A9" s="5"/>
      <x:c r="B9" s="5"/>
      <x:c r="C9" s="5"/>
      <x:c r="D9" s="5"/>
      <x:c r="E9" s="23"/>
      <x:c r="F9" s="23"/>
      <x:c r="G9" s="7"/>
      <x:c r="H9" s="5"/>
      <x:c r="I9" s="5"/>
      <x:c r="J9" s="5"/>
      <x:c r="K9" s="2" t="str">
        <x:f>IF(A9="","",IF(COUNTIFS($A$7:$A$66,A9)&gt;1,"Duplicate quote ID",IF(OR(B9="",C9="",COUNT(G9)=0),"Missing quote fields",IF(AND(H9="Selected",COUNTIFS($C$7:$C$66,C9,$H$7:$H$66,"Selected")&gt;1),"Multiple selected offers","Check validity and terms"))))</x:f>
      </x:c>
    </x:row>
    <x:row r="10" ht="23" customHeight="1">
      <x:c r="A10" s="5"/>
      <x:c r="B10" s="5"/>
      <x:c r="C10" s="5"/>
      <x:c r="D10" s="5"/>
      <x:c r="E10" s="23"/>
      <x:c r="F10" s="23"/>
      <x:c r="G10" s="7"/>
      <x:c r="H10" s="5"/>
      <x:c r="I10" s="5"/>
      <x:c r="J10" s="5"/>
      <x:c r="K10" s="2" t="str">
        <x:f>IF(A10="","",IF(COUNTIFS($A$7:$A$66,A10)&gt;1,"Duplicate quote ID",IF(OR(B10="",C10="",COUNT(G10)=0),"Missing quote fields",IF(AND(H10="Selected",COUNTIFS($C$7:$C$66,C10,$H$7:$H$66,"Selected")&gt;1),"Multiple selected offers","Check validity and terms"))))</x:f>
      </x:c>
    </x:row>
    <x:row r="11" ht="23" customHeight="1">
      <x:c r="A11" s="5"/>
      <x:c r="B11" s="5"/>
      <x:c r="C11" s="5"/>
      <x:c r="D11" s="5"/>
      <x:c r="E11" s="23"/>
      <x:c r="F11" s="23"/>
      <x:c r="G11" s="7"/>
      <x:c r="H11" s="5"/>
      <x:c r="I11" s="5"/>
      <x:c r="J11" s="5"/>
      <x:c r="K11" s="2" t="str">
        <x:f>IF(A11="","",IF(COUNTIFS($A$7:$A$66,A11)&gt;1,"Duplicate quote ID",IF(OR(B11="",C11="",COUNT(G11)=0),"Missing quote fields",IF(AND(H11="Selected",COUNTIFS($C$7:$C$66,C11,$H$7:$H$66,"Selected")&gt;1),"Multiple selected offers","Check validity and terms"))))</x:f>
      </x:c>
    </x:row>
    <x:row r="12" ht="23" customHeight="1">
      <x:c r="A12" s="5"/>
      <x:c r="B12" s="5"/>
      <x:c r="C12" s="5"/>
      <x:c r="D12" s="5"/>
      <x:c r="E12" s="23"/>
      <x:c r="F12" s="23"/>
      <x:c r="G12" s="7"/>
      <x:c r="H12" s="5"/>
      <x:c r="I12" s="5"/>
      <x:c r="J12" s="5"/>
      <x:c r="K12" s="2" t="str">
        <x:f>IF(A12="","",IF(COUNTIFS($A$7:$A$66,A12)&gt;1,"Duplicate quote ID",IF(OR(B12="",C12="",COUNT(G12)=0),"Missing quote fields",IF(AND(H12="Selected",COUNTIFS($C$7:$C$66,C12,$H$7:$H$66,"Selected")&gt;1),"Multiple selected offers","Check validity and terms"))))</x:f>
      </x:c>
    </x:row>
    <x:row r="13" ht="23" customHeight="1">
      <x:c r="A13" s="5"/>
      <x:c r="B13" s="5"/>
      <x:c r="C13" s="5"/>
      <x:c r="D13" s="5"/>
      <x:c r="E13" s="23"/>
      <x:c r="F13" s="23"/>
      <x:c r="G13" s="7"/>
      <x:c r="H13" s="5"/>
      <x:c r="I13" s="5"/>
      <x:c r="J13" s="5"/>
      <x:c r="K13" s="2" t="str">
        <x:f>IF(A13="","",IF(COUNTIFS($A$7:$A$66,A13)&gt;1,"Duplicate quote ID",IF(OR(B13="",C13="",COUNT(G13)=0),"Missing quote fields",IF(AND(H13="Selected",COUNTIFS($C$7:$C$66,C13,$H$7:$H$66,"Selected")&gt;1),"Multiple selected offers","Check validity and terms"))))</x:f>
      </x:c>
    </x:row>
    <x:row r="14" ht="23" customHeight="1">
      <x:c r="A14" s="5"/>
      <x:c r="B14" s="5"/>
      <x:c r="C14" s="5"/>
      <x:c r="D14" s="5"/>
      <x:c r="E14" s="23"/>
      <x:c r="F14" s="23"/>
      <x:c r="G14" s="7"/>
      <x:c r="H14" s="5"/>
      <x:c r="I14" s="5"/>
      <x:c r="J14" s="5"/>
      <x:c r="K14" s="2" t="str">
        <x:f>IF(A14="","",IF(COUNTIFS($A$7:$A$66,A14)&gt;1,"Duplicate quote ID",IF(OR(B14="",C14="",COUNT(G14)=0),"Missing quote fields",IF(AND(H14="Selected",COUNTIFS($C$7:$C$66,C14,$H$7:$H$66,"Selected")&gt;1),"Multiple selected offers","Check validity and terms"))))</x:f>
      </x:c>
    </x:row>
    <x:row r="15" ht="23" customHeight="1">
      <x:c r="A15" s="5"/>
      <x:c r="B15" s="5"/>
      <x:c r="C15" s="5"/>
      <x:c r="D15" s="5"/>
      <x:c r="E15" s="23"/>
      <x:c r="F15" s="23"/>
      <x:c r="G15" s="7"/>
      <x:c r="H15" s="5"/>
      <x:c r="I15" s="5"/>
      <x:c r="J15" s="5"/>
      <x:c r="K15" s="2" t="str">
        <x:f>IF(A15="","",IF(COUNTIFS($A$7:$A$66,A15)&gt;1,"Duplicate quote ID",IF(OR(B15="",C15="",COUNT(G15)=0),"Missing quote fields",IF(AND(H15="Selected",COUNTIFS($C$7:$C$66,C15,$H$7:$H$66,"Selected")&gt;1),"Multiple selected offers","Check validity and terms"))))</x:f>
      </x:c>
    </x:row>
    <x:row r="16" ht="23" customHeight="1">
      <x:c r="A16" s="5"/>
      <x:c r="B16" s="5"/>
      <x:c r="C16" s="5"/>
      <x:c r="D16" s="5"/>
      <x:c r="E16" s="23"/>
      <x:c r="F16" s="23"/>
      <x:c r="G16" s="7"/>
      <x:c r="H16" s="5"/>
      <x:c r="I16" s="5"/>
      <x:c r="J16" s="5"/>
      <x:c r="K16" s="2" t="str">
        <x:f>IF(A16="","",IF(COUNTIFS($A$7:$A$66,A16)&gt;1,"Duplicate quote ID",IF(OR(B16="",C16="",COUNT(G16)=0),"Missing quote fields",IF(AND(H16="Selected",COUNTIFS($C$7:$C$66,C16,$H$7:$H$66,"Selected")&gt;1),"Multiple selected offers","Check validity and terms"))))</x:f>
      </x:c>
    </x:row>
    <x:row r="17" ht="23" customHeight="1">
      <x:c r="A17" s="5"/>
      <x:c r="B17" s="5"/>
      <x:c r="C17" s="5"/>
      <x:c r="D17" s="5"/>
      <x:c r="E17" s="23"/>
      <x:c r="F17" s="23"/>
      <x:c r="G17" s="7"/>
      <x:c r="H17" s="5"/>
      <x:c r="I17" s="5"/>
      <x:c r="J17" s="5"/>
      <x:c r="K17" s="2" t="str">
        <x:f>IF(A17="","",IF(COUNTIFS($A$7:$A$66,A17)&gt;1,"Duplicate quote ID",IF(OR(B17="",C17="",COUNT(G17)=0),"Missing quote fields",IF(AND(H17="Selected",COUNTIFS($C$7:$C$66,C17,$H$7:$H$66,"Selected")&gt;1),"Multiple selected offers","Check validity and terms"))))</x:f>
      </x:c>
    </x:row>
    <x:row r="18" ht="23" customHeight="1">
      <x:c r="A18" s="5"/>
      <x:c r="B18" s="5"/>
      <x:c r="C18" s="5"/>
      <x:c r="D18" s="5"/>
      <x:c r="E18" s="23"/>
      <x:c r="F18" s="23"/>
      <x:c r="G18" s="7"/>
      <x:c r="H18" s="5"/>
      <x:c r="I18" s="5"/>
      <x:c r="J18" s="5"/>
      <x:c r="K18" s="2" t="str">
        <x:f>IF(A18="","",IF(COUNTIFS($A$7:$A$66,A18)&gt;1,"Duplicate quote ID",IF(OR(B18="",C18="",COUNT(G18)=0),"Missing quote fields",IF(AND(H18="Selected",COUNTIFS($C$7:$C$66,C18,$H$7:$H$66,"Selected")&gt;1),"Multiple selected offers","Check validity and terms"))))</x:f>
      </x:c>
    </x:row>
    <x:row r="19" ht="23" customHeight="1">
      <x:c r="A19" s="5"/>
      <x:c r="B19" s="5"/>
      <x:c r="C19" s="5"/>
      <x:c r="D19" s="5"/>
      <x:c r="E19" s="23"/>
      <x:c r="F19" s="23"/>
      <x:c r="G19" s="7"/>
      <x:c r="H19" s="5"/>
      <x:c r="I19" s="5"/>
      <x:c r="J19" s="5"/>
      <x:c r="K19" s="2" t="str">
        <x:f>IF(A19="","",IF(COUNTIFS($A$7:$A$66,A19)&gt;1,"Duplicate quote ID",IF(OR(B19="",C19="",COUNT(G19)=0),"Missing quote fields",IF(AND(H19="Selected",COUNTIFS($C$7:$C$66,C19,$H$7:$H$66,"Selected")&gt;1),"Multiple selected offers","Check validity and terms"))))</x:f>
      </x:c>
    </x:row>
    <x:row r="20" ht="23" customHeight="1">
      <x:c r="A20" s="5"/>
      <x:c r="B20" s="5"/>
      <x:c r="C20" s="5"/>
      <x:c r="D20" s="5"/>
      <x:c r="E20" s="23"/>
      <x:c r="F20" s="23"/>
      <x:c r="G20" s="7"/>
      <x:c r="H20" s="5"/>
      <x:c r="I20" s="5"/>
      <x:c r="J20" s="5"/>
      <x:c r="K20" s="2" t="str">
        <x:f>IF(A20="","",IF(COUNTIFS($A$7:$A$66,A20)&gt;1,"Duplicate quote ID",IF(OR(B20="",C20="",COUNT(G20)=0),"Missing quote fields",IF(AND(H20="Selected",COUNTIFS($C$7:$C$66,C20,$H$7:$H$66,"Selected")&gt;1),"Multiple selected offers","Check validity and terms"))))</x:f>
      </x:c>
    </x:row>
    <x:row r="21" ht="23" customHeight="1">
      <x:c r="A21" s="5"/>
      <x:c r="B21" s="5"/>
      <x:c r="C21" s="5"/>
      <x:c r="D21" s="5"/>
      <x:c r="E21" s="23"/>
      <x:c r="F21" s="23"/>
      <x:c r="G21" s="7"/>
      <x:c r="H21" s="5"/>
      <x:c r="I21" s="5"/>
      <x:c r="J21" s="5"/>
      <x:c r="K21" s="2" t="str">
        <x:f>IF(A21="","",IF(COUNTIFS($A$7:$A$66,A21)&gt;1,"Duplicate quote ID",IF(OR(B21="",C21="",COUNT(G21)=0),"Missing quote fields",IF(AND(H21="Selected",COUNTIFS($C$7:$C$66,C21,$H$7:$H$66,"Selected")&gt;1),"Multiple selected offers","Check validity and terms"))))</x:f>
      </x:c>
    </x:row>
    <x:row r="22" ht="23" customHeight="1">
      <x:c r="A22" s="5"/>
      <x:c r="B22" s="5"/>
      <x:c r="C22" s="5"/>
      <x:c r="D22" s="5"/>
      <x:c r="E22" s="23"/>
      <x:c r="F22" s="23"/>
      <x:c r="G22" s="7"/>
      <x:c r="H22" s="5"/>
      <x:c r="I22" s="5"/>
      <x:c r="J22" s="5"/>
      <x:c r="K22" s="2" t="str">
        <x:f>IF(A22="","",IF(COUNTIFS($A$7:$A$66,A22)&gt;1,"Duplicate quote ID",IF(OR(B22="",C22="",COUNT(G22)=0),"Missing quote fields",IF(AND(H22="Selected",COUNTIFS($C$7:$C$66,C22,$H$7:$H$66,"Selected")&gt;1),"Multiple selected offers","Check validity and terms"))))</x:f>
      </x:c>
    </x:row>
    <x:row r="23" ht="23" customHeight="1">
      <x:c r="A23" s="5"/>
      <x:c r="B23" s="5"/>
      <x:c r="C23" s="5"/>
      <x:c r="D23" s="5"/>
      <x:c r="E23" s="23"/>
      <x:c r="F23" s="23"/>
      <x:c r="G23" s="7"/>
      <x:c r="H23" s="5"/>
      <x:c r="I23" s="5"/>
      <x:c r="J23" s="5"/>
      <x:c r="K23" s="2" t="str">
        <x:f>IF(A23="","",IF(COUNTIFS($A$7:$A$66,A23)&gt;1,"Duplicate quote ID",IF(OR(B23="",C23="",COUNT(G23)=0),"Missing quote fields",IF(AND(H23="Selected",COUNTIFS($C$7:$C$66,C23,$H$7:$H$66,"Selected")&gt;1),"Multiple selected offers","Check validity and terms"))))</x:f>
      </x:c>
    </x:row>
    <x:row r="24" ht="23" customHeight="1">
      <x:c r="A24" s="5"/>
      <x:c r="B24" s="5"/>
      <x:c r="C24" s="5"/>
      <x:c r="D24" s="5"/>
      <x:c r="E24" s="23"/>
      <x:c r="F24" s="23"/>
      <x:c r="G24" s="7"/>
      <x:c r="H24" s="5"/>
      <x:c r="I24" s="5"/>
      <x:c r="J24" s="5"/>
      <x:c r="K24" s="2" t="str">
        <x:f>IF(A24="","",IF(COUNTIFS($A$7:$A$66,A24)&gt;1,"Duplicate quote ID",IF(OR(B24="",C24="",COUNT(G24)=0),"Missing quote fields",IF(AND(H24="Selected",COUNTIFS($C$7:$C$66,C24,$H$7:$H$66,"Selected")&gt;1),"Multiple selected offers","Check validity and terms"))))</x:f>
      </x:c>
    </x:row>
    <x:row r="25" ht="23" customHeight="1">
      <x:c r="A25" s="5"/>
      <x:c r="B25" s="5"/>
      <x:c r="C25" s="5"/>
      <x:c r="D25" s="5"/>
      <x:c r="E25" s="23"/>
      <x:c r="F25" s="23"/>
      <x:c r="G25" s="7"/>
      <x:c r="H25" s="5"/>
      <x:c r="I25" s="5"/>
      <x:c r="J25" s="5"/>
      <x:c r="K25" s="2" t="str">
        <x:f>IF(A25="","",IF(COUNTIFS($A$7:$A$66,A25)&gt;1,"Duplicate quote ID",IF(OR(B25="",C25="",COUNT(G25)=0),"Missing quote fields",IF(AND(H25="Selected",COUNTIFS($C$7:$C$66,C25,$H$7:$H$66,"Selected")&gt;1),"Multiple selected offers","Check validity and terms"))))</x:f>
      </x:c>
    </x:row>
    <x:row r="26" ht="23" customHeight="1">
      <x:c r="A26" s="5"/>
      <x:c r="B26" s="5"/>
      <x:c r="C26" s="5"/>
      <x:c r="D26" s="5"/>
      <x:c r="E26" s="23"/>
      <x:c r="F26" s="23"/>
      <x:c r="G26" s="7"/>
      <x:c r="H26" s="5"/>
      <x:c r="I26" s="5"/>
      <x:c r="J26" s="5"/>
      <x:c r="K26" s="2" t="str">
        <x:f>IF(A26="","",IF(COUNTIFS($A$7:$A$66,A26)&gt;1,"Duplicate quote ID",IF(OR(B26="",C26="",COUNT(G26)=0),"Missing quote fields",IF(AND(H26="Selected",COUNTIFS($C$7:$C$66,C26,$H$7:$H$66,"Selected")&gt;1),"Multiple selected offers","Check validity and terms"))))</x:f>
      </x:c>
    </x:row>
    <x:row r="27" ht="23" customHeight="1">
      <x:c r="A27" s="5"/>
      <x:c r="B27" s="5"/>
      <x:c r="C27" s="5"/>
      <x:c r="D27" s="5"/>
      <x:c r="E27" s="23"/>
      <x:c r="F27" s="23"/>
      <x:c r="G27" s="7"/>
      <x:c r="H27" s="5"/>
      <x:c r="I27" s="5"/>
      <x:c r="J27" s="5"/>
      <x:c r="K27" s="2" t="str">
        <x:f>IF(A27="","",IF(COUNTIFS($A$7:$A$66,A27)&gt;1,"Duplicate quote ID",IF(OR(B27="",C27="",COUNT(G27)=0),"Missing quote fields",IF(AND(H27="Selected",COUNTIFS($C$7:$C$66,C27,$H$7:$H$66,"Selected")&gt;1),"Multiple selected offers","Check validity and terms"))))</x:f>
      </x:c>
    </x:row>
    <x:row r="28" ht="23" customHeight="1">
      <x:c r="A28" s="5"/>
      <x:c r="B28" s="5"/>
      <x:c r="C28" s="5"/>
      <x:c r="D28" s="5"/>
      <x:c r="E28" s="23"/>
      <x:c r="F28" s="23"/>
      <x:c r="G28" s="7"/>
      <x:c r="H28" s="5"/>
      <x:c r="I28" s="5"/>
      <x:c r="J28" s="5"/>
      <x:c r="K28" s="2" t="str">
        <x:f>IF(A28="","",IF(COUNTIFS($A$7:$A$66,A28)&gt;1,"Duplicate quote ID",IF(OR(B28="",C28="",COUNT(G28)=0),"Missing quote fields",IF(AND(H28="Selected",COUNTIFS($C$7:$C$66,C28,$H$7:$H$66,"Selected")&gt;1),"Multiple selected offers","Check validity and terms"))))</x:f>
      </x:c>
    </x:row>
    <x:row r="29" ht="23" customHeight="1">
      <x:c r="A29" s="5"/>
      <x:c r="B29" s="5"/>
      <x:c r="C29" s="5"/>
      <x:c r="D29" s="5"/>
      <x:c r="E29" s="23"/>
      <x:c r="F29" s="23"/>
      <x:c r="G29" s="7"/>
      <x:c r="H29" s="5"/>
      <x:c r="I29" s="5"/>
      <x:c r="J29" s="5"/>
      <x:c r="K29" s="2" t="str">
        <x:f>IF(A29="","",IF(COUNTIFS($A$7:$A$66,A29)&gt;1,"Duplicate quote ID",IF(OR(B29="",C29="",COUNT(G29)=0),"Missing quote fields",IF(AND(H29="Selected",COUNTIFS($C$7:$C$66,C29,$H$7:$H$66,"Selected")&gt;1),"Multiple selected offers","Check validity and terms"))))</x:f>
      </x:c>
    </x:row>
    <x:row r="30" ht="23" customHeight="1">
      <x:c r="A30" s="5"/>
      <x:c r="B30" s="5"/>
      <x:c r="C30" s="5"/>
      <x:c r="D30" s="5"/>
      <x:c r="E30" s="23"/>
      <x:c r="F30" s="23"/>
      <x:c r="G30" s="7"/>
      <x:c r="H30" s="5"/>
      <x:c r="I30" s="5"/>
      <x:c r="J30" s="5"/>
      <x:c r="K30" s="2" t="str">
        <x:f>IF(A30="","",IF(COUNTIFS($A$7:$A$66,A30)&gt;1,"Duplicate quote ID",IF(OR(B30="",C30="",COUNT(G30)=0),"Missing quote fields",IF(AND(H30="Selected",COUNTIFS($C$7:$C$66,C30,$H$7:$H$66,"Selected")&gt;1),"Multiple selected offers","Check validity and terms"))))</x:f>
      </x:c>
    </x:row>
    <x:row r="31" ht="23" customHeight="1">
      <x:c r="A31" s="5"/>
      <x:c r="B31" s="5"/>
      <x:c r="C31" s="5"/>
      <x:c r="D31" s="5"/>
      <x:c r="E31" s="23"/>
      <x:c r="F31" s="23"/>
      <x:c r="G31" s="7"/>
      <x:c r="H31" s="5"/>
      <x:c r="I31" s="5"/>
      <x:c r="J31" s="5"/>
      <x:c r="K31" s="2" t="str">
        <x:f>IF(A31="","",IF(COUNTIFS($A$7:$A$66,A31)&gt;1,"Duplicate quote ID",IF(OR(B31="",C31="",COUNT(G31)=0),"Missing quote fields",IF(AND(H31="Selected",COUNTIFS($C$7:$C$66,C31,$H$7:$H$66,"Selected")&gt;1),"Multiple selected offers","Check validity and terms"))))</x:f>
      </x:c>
    </x:row>
    <x:row r="32" ht="23" customHeight="1">
      <x:c r="A32" s="5"/>
      <x:c r="B32" s="5"/>
      <x:c r="C32" s="5"/>
      <x:c r="D32" s="5"/>
      <x:c r="E32" s="23"/>
      <x:c r="F32" s="23"/>
      <x:c r="G32" s="7"/>
      <x:c r="H32" s="5"/>
      <x:c r="I32" s="5"/>
      <x:c r="J32" s="5"/>
      <x:c r="K32" s="2" t="str">
        <x:f>IF(A32="","",IF(COUNTIFS($A$7:$A$66,A32)&gt;1,"Duplicate quote ID",IF(OR(B32="",C32="",COUNT(G32)=0),"Missing quote fields",IF(AND(H32="Selected",COUNTIFS($C$7:$C$66,C32,$H$7:$H$66,"Selected")&gt;1),"Multiple selected offers","Check validity and terms"))))</x:f>
      </x:c>
    </x:row>
    <x:row r="33" ht="23" customHeight="1">
      <x:c r="A33" s="5"/>
      <x:c r="B33" s="5"/>
      <x:c r="C33" s="5"/>
      <x:c r="D33" s="5"/>
      <x:c r="E33" s="23"/>
      <x:c r="F33" s="23"/>
      <x:c r="G33" s="7"/>
      <x:c r="H33" s="5"/>
      <x:c r="I33" s="5"/>
      <x:c r="J33" s="5"/>
      <x:c r="K33" s="2" t="str">
        <x:f>IF(A33="","",IF(COUNTIFS($A$7:$A$66,A33)&gt;1,"Duplicate quote ID",IF(OR(B33="",C33="",COUNT(G33)=0),"Missing quote fields",IF(AND(H33="Selected",COUNTIFS($C$7:$C$66,C33,$H$7:$H$66,"Selected")&gt;1),"Multiple selected offers","Check validity and terms"))))</x:f>
      </x:c>
    </x:row>
    <x:row r="34" ht="23" customHeight="1">
      <x:c r="A34" s="5"/>
      <x:c r="B34" s="5"/>
      <x:c r="C34" s="5"/>
      <x:c r="D34" s="5"/>
      <x:c r="E34" s="23"/>
      <x:c r="F34" s="23"/>
      <x:c r="G34" s="7"/>
      <x:c r="H34" s="5"/>
      <x:c r="I34" s="5"/>
      <x:c r="J34" s="5"/>
      <x:c r="K34" s="2" t="str">
        <x:f>IF(A34="","",IF(COUNTIFS($A$7:$A$66,A34)&gt;1,"Duplicate quote ID",IF(OR(B34="",C34="",COUNT(G34)=0),"Missing quote fields",IF(AND(H34="Selected",COUNTIFS($C$7:$C$66,C34,$H$7:$H$66,"Selected")&gt;1),"Multiple selected offers","Check validity and terms"))))</x:f>
      </x:c>
    </x:row>
    <x:row r="35" ht="23" customHeight="1">
      <x:c r="A35" s="5"/>
      <x:c r="B35" s="5"/>
      <x:c r="C35" s="5"/>
      <x:c r="D35" s="5"/>
      <x:c r="E35" s="23"/>
      <x:c r="F35" s="23"/>
      <x:c r="G35" s="7"/>
      <x:c r="H35" s="5"/>
      <x:c r="I35" s="5"/>
      <x:c r="J35" s="5"/>
      <x:c r="K35" s="2" t="str">
        <x:f>IF(A35="","",IF(COUNTIFS($A$7:$A$66,A35)&gt;1,"Duplicate quote ID",IF(OR(B35="",C35="",COUNT(G35)=0),"Missing quote fields",IF(AND(H35="Selected",COUNTIFS($C$7:$C$66,C35,$H$7:$H$66,"Selected")&gt;1),"Multiple selected offers","Check validity and terms"))))</x:f>
      </x:c>
    </x:row>
    <x:row r="36" ht="23" customHeight="1">
      <x:c r="A36" s="5"/>
      <x:c r="B36" s="5"/>
      <x:c r="C36" s="5"/>
      <x:c r="D36" s="5"/>
      <x:c r="E36" s="23"/>
      <x:c r="F36" s="23"/>
      <x:c r="G36" s="7"/>
      <x:c r="H36" s="5"/>
      <x:c r="I36" s="5"/>
      <x:c r="J36" s="5"/>
      <x:c r="K36" s="2" t="str">
        <x:f>IF(A36="","",IF(COUNTIFS($A$7:$A$66,A36)&gt;1,"Duplicate quote ID",IF(OR(B36="",C36="",COUNT(G36)=0),"Missing quote fields",IF(AND(H36="Selected",COUNTIFS($C$7:$C$66,C36,$H$7:$H$66,"Selected")&gt;1),"Multiple selected offers","Check validity and terms"))))</x:f>
      </x:c>
    </x:row>
    <x:row r="37" ht="23" customHeight="1">
      <x:c r="A37" s="5"/>
      <x:c r="B37" s="5"/>
      <x:c r="C37" s="5"/>
      <x:c r="D37" s="5"/>
      <x:c r="E37" s="23"/>
      <x:c r="F37" s="23"/>
      <x:c r="G37" s="7"/>
      <x:c r="H37" s="5"/>
      <x:c r="I37" s="5"/>
      <x:c r="J37" s="5"/>
      <x:c r="K37" s="2" t="str">
        <x:f>IF(A37="","",IF(COUNTIFS($A$7:$A$66,A37)&gt;1,"Duplicate quote ID",IF(OR(B37="",C37="",COUNT(G37)=0),"Missing quote fields",IF(AND(H37="Selected",COUNTIFS($C$7:$C$66,C37,$H$7:$H$66,"Selected")&gt;1),"Multiple selected offers","Check validity and terms"))))</x:f>
      </x:c>
    </x:row>
    <x:row r="38" ht="23" customHeight="1">
      <x:c r="A38" s="5"/>
      <x:c r="B38" s="5"/>
      <x:c r="C38" s="5"/>
      <x:c r="D38" s="5"/>
      <x:c r="E38" s="23"/>
      <x:c r="F38" s="23"/>
      <x:c r="G38" s="7"/>
      <x:c r="H38" s="5"/>
      <x:c r="I38" s="5"/>
      <x:c r="J38" s="5"/>
      <x:c r="K38" s="2" t="str">
        <x:f>IF(A38="","",IF(COUNTIFS($A$7:$A$66,A38)&gt;1,"Duplicate quote ID",IF(OR(B38="",C38="",COUNT(G38)=0),"Missing quote fields",IF(AND(H38="Selected",COUNTIFS($C$7:$C$66,C38,$H$7:$H$66,"Selected")&gt;1),"Multiple selected offers","Check validity and terms"))))</x:f>
      </x:c>
    </x:row>
    <x:row r="39" ht="23" customHeight="1">
      <x:c r="A39" s="5"/>
      <x:c r="B39" s="5"/>
      <x:c r="C39" s="5"/>
      <x:c r="D39" s="5"/>
      <x:c r="E39" s="23"/>
      <x:c r="F39" s="23"/>
      <x:c r="G39" s="7"/>
      <x:c r="H39" s="5"/>
      <x:c r="I39" s="5"/>
      <x:c r="J39" s="5"/>
      <x:c r="K39" s="2" t="str">
        <x:f>IF(A39="","",IF(COUNTIFS($A$7:$A$66,A39)&gt;1,"Duplicate quote ID",IF(OR(B39="",C39="",COUNT(G39)=0),"Missing quote fields",IF(AND(H39="Selected",COUNTIFS($C$7:$C$66,C39,$H$7:$H$66,"Selected")&gt;1),"Multiple selected offers","Check validity and terms"))))</x:f>
      </x:c>
    </x:row>
    <x:row r="40" ht="23" customHeight="1">
      <x:c r="A40" s="5"/>
      <x:c r="B40" s="5"/>
      <x:c r="C40" s="5"/>
      <x:c r="D40" s="5"/>
      <x:c r="E40" s="23"/>
      <x:c r="F40" s="23"/>
      <x:c r="G40" s="7"/>
      <x:c r="H40" s="5"/>
      <x:c r="I40" s="5"/>
      <x:c r="J40" s="5"/>
      <x:c r="K40" s="2" t="str">
        <x:f>IF(A40="","",IF(COUNTIFS($A$7:$A$66,A40)&gt;1,"Duplicate quote ID",IF(OR(B40="",C40="",COUNT(G40)=0),"Missing quote fields",IF(AND(H40="Selected",COUNTIFS($C$7:$C$66,C40,$H$7:$H$66,"Selected")&gt;1),"Multiple selected offers","Check validity and terms"))))</x:f>
      </x:c>
    </x:row>
    <x:row r="41" ht="23" customHeight="1">
      <x:c r="A41" s="5"/>
      <x:c r="B41" s="5"/>
      <x:c r="C41" s="5"/>
      <x:c r="D41" s="5"/>
      <x:c r="E41" s="23"/>
      <x:c r="F41" s="23"/>
      <x:c r="G41" s="7"/>
      <x:c r="H41" s="5"/>
      <x:c r="I41" s="5"/>
      <x:c r="J41" s="5"/>
      <x:c r="K41" s="2" t="str">
        <x:f>IF(A41="","",IF(COUNTIFS($A$7:$A$66,A41)&gt;1,"Duplicate quote ID",IF(OR(B41="",C41="",COUNT(G41)=0),"Missing quote fields",IF(AND(H41="Selected",COUNTIFS($C$7:$C$66,C41,$H$7:$H$66,"Selected")&gt;1),"Multiple selected offers","Check validity and terms"))))</x:f>
      </x:c>
    </x:row>
    <x:row r="42" ht="23" customHeight="1">
      <x:c r="A42" s="5"/>
      <x:c r="B42" s="5"/>
      <x:c r="C42" s="5"/>
      <x:c r="D42" s="5"/>
      <x:c r="E42" s="23"/>
      <x:c r="F42" s="23"/>
      <x:c r="G42" s="7"/>
      <x:c r="H42" s="5"/>
      <x:c r="I42" s="5"/>
      <x:c r="J42" s="5"/>
      <x:c r="K42" s="2" t="str">
        <x:f>IF(A42="","",IF(COUNTIFS($A$7:$A$66,A42)&gt;1,"Duplicate quote ID",IF(OR(B42="",C42="",COUNT(G42)=0),"Missing quote fields",IF(AND(H42="Selected",COUNTIFS($C$7:$C$66,C42,$H$7:$H$66,"Selected")&gt;1),"Multiple selected offers","Check validity and terms"))))</x:f>
      </x:c>
    </x:row>
    <x:row r="43" ht="23" customHeight="1">
      <x:c r="A43" s="5"/>
      <x:c r="B43" s="5"/>
      <x:c r="C43" s="5"/>
      <x:c r="D43" s="5"/>
      <x:c r="E43" s="23"/>
      <x:c r="F43" s="23"/>
      <x:c r="G43" s="7"/>
      <x:c r="H43" s="5"/>
      <x:c r="I43" s="5"/>
      <x:c r="J43" s="5"/>
      <x:c r="K43" s="2" t="str">
        <x:f>IF(A43="","",IF(COUNTIFS($A$7:$A$66,A43)&gt;1,"Duplicate quote ID",IF(OR(B43="",C43="",COUNT(G43)=0),"Missing quote fields",IF(AND(H43="Selected",COUNTIFS($C$7:$C$66,C43,$H$7:$H$66,"Selected")&gt;1),"Multiple selected offers","Check validity and terms"))))</x:f>
      </x:c>
    </x:row>
    <x:row r="44" ht="23" customHeight="1">
      <x:c r="A44" s="5"/>
      <x:c r="B44" s="5"/>
      <x:c r="C44" s="5"/>
      <x:c r="D44" s="5"/>
      <x:c r="E44" s="23"/>
      <x:c r="F44" s="23"/>
      <x:c r="G44" s="7"/>
      <x:c r="H44" s="5"/>
      <x:c r="I44" s="5"/>
      <x:c r="J44" s="5"/>
      <x:c r="K44" s="2" t="str">
        <x:f>IF(A44="","",IF(COUNTIFS($A$7:$A$66,A44)&gt;1,"Duplicate quote ID",IF(OR(B44="",C44="",COUNT(G44)=0),"Missing quote fields",IF(AND(H44="Selected",COUNTIFS($C$7:$C$66,C44,$H$7:$H$66,"Selected")&gt;1),"Multiple selected offers","Check validity and terms"))))</x:f>
      </x:c>
    </x:row>
    <x:row r="45" ht="23" customHeight="1">
      <x:c r="A45" s="5"/>
      <x:c r="B45" s="5"/>
      <x:c r="C45" s="5"/>
      <x:c r="D45" s="5"/>
      <x:c r="E45" s="23"/>
      <x:c r="F45" s="23"/>
      <x:c r="G45" s="7"/>
      <x:c r="H45" s="5"/>
      <x:c r="I45" s="5"/>
      <x:c r="J45" s="5"/>
      <x:c r="K45" s="2" t="str">
        <x:f>IF(A45="","",IF(COUNTIFS($A$7:$A$66,A45)&gt;1,"Duplicate quote ID",IF(OR(B45="",C45="",COUNT(G45)=0),"Missing quote fields",IF(AND(H45="Selected",COUNTIFS($C$7:$C$66,C45,$H$7:$H$66,"Selected")&gt;1),"Multiple selected offers","Check validity and terms"))))</x:f>
      </x:c>
    </x:row>
    <x:row r="46" ht="23" customHeight="1">
      <x:c r="A46" s="5"/>
      <x:c r="B46" s="5"/>
      <x:c r="C46" s="5"/>
      <x:c r="D46" s="5"/>
      <x:c r="E46" s="23"/>
      <x:c r="F46" s="23"/>
      <x:c r="G46" s="7"/>
      <x:c r="H46" s="5"/>
      <x:c r="I46" s="5"/>
      <x:c r="J46" s="5"/>
      <x:c r="K46" s="2" t="str">
        <x:f>IF(A46="","",IF(COUNTIFS($A$7:$A$66,A46)&gt;1,"Duplicate quote ID",IF(OR(B46="",C46="",COUNT(G46)=0),"Missing quote fields",IF(AND(H46="Selected",COUNTIFS($C$7:$C$66,C46,$H$7:$H$66,"Selected")&gt;1),"Multiple selected offers","Check validity and terms"))))</x:f>
      </x:c>
    </x:row>
    <x:row r="47" ht="23" customHeight="1">
      <x:c r="A47" s="5"/>
      <x:c r="B47" s="5"/>
      <x:c r="C47" s="5"/>
      <x:c r="D47" s="5"/>
      <x:c r="E47" s="23"/>
      <x:c r="F47" s="23"/>
      <x:c r="G47" s="7"/>
      <x:c r="H47" s="5"/>
      <x:c r="I47" s="5"/>
      <x:c r="J47" s="5"/>
      <x:c r="K47" s="2" t="str">
        <x:f>IF(A47="","",IF(COUNTIFS($A$7:$A$66,A47)&gt;1,"Duplicate quote ID",IF(OR(B47="",C47="",COUNT(G47)=0),"Missing quote fields",IF(AND(H47="Selected",COUNTIFS($C$7:$C$66,C47,$H$7:$H$66,"Selected")&gt;1),"Multiple selected offers","Check validity and terms"))))</x:f>
      </x:c>
    </x:row>
    <x:row r="48" ht="23" customHeight="1">
      <x:c r="A48" s="5"/>
      <x:c r="B48" s="5"/>
      <x:c r="C48" s="5"/>
      <x:c r="D48" s="5"/>
      <x:c r="E48" s="23"/>
      <x:c r="F48" s="23"/>
      <x:c r="G48" s="7"/>
      <x:c r="H48" s="5"/>
      <x:c r="I48" s="5"/>
      <x:c r="J48" s="5"/>
      <x:c r="K48" s="2" t="str">
        <x:f>IF(A48="","",IF(COUNTIFS($A$7:$A$66,A48)&gt;1,"Duplicate quote ID",IF(OR(B48="",C48="",COUNT(G48)=0),"Missing quote fields",IF(AND(H48="Selected",COUNTIFS($C$7:$C$66,C48,$H$7:$H$66,"Selected")&gt;1),"Multiple selected offers","Check validity and terms"))))</x:f>
      </x:c>
    </x:row>
    <x:row r="49" ht="23" customHeight="1">
      <x:c r="A49" s="5"/>
      <x:c r="B49" s="5"/>
      <x:c r="C49" s="5"/>
      <x:c r="D49" s="5"/>
      <x:c r="E49" s="23"/>
      <x:c r="F49" s="23"/>
      <x:c r="G49" s="7"/>
      <x:c r="H49" s="5"/>
      <x:c r="I49" s="5"/>
      <x:c r="J49" s="5"/>
      <x:c r="K49" s="2" t="str">
        <x:f>IF(A49="","",IF(COUNTIFS($A$7:$A$66,A49)&gt;1,"Duplicate quote ID",IF(OR(B49="",C49="",COUNT(G49)=0),"Missing quote fields",IF(AND(H49="Selected",COUNTIFS($C$7:$C$66,C49,$H$7:$H$66,"Selected")&gt;1),"Multiple selected offers","Check validity and terms"))))</x:f>
      </x:c>
    </x:row>
    <x:row r="50" ht="23" customHeight="1">
      <x:c r="A50" s="5"/>
      <x:c r="B50" s="5"/>
      <x:c r="C50" s="5"/>
      <x:c r="D50" s="5"/>
      <x:c r="E50" s="23"/>
      <x:c r="F50" s="23"/>
      <x:c r="G50" s="7"/>
      <x:c r="H50" s="5"/>
      <x:c r="I50" s="5"/>
      <x:c r="J50" s="5"/>
      <x:c r="K50" s="2" t="str">
        <x:f>IF(A50="","",IF(COUNTIFS($A$7:$A$66,A50)&gt;1,"Duplicate quote ID",IF(OR(B50="",C50="",COUNT(G50)=0),"Missing quote fields",IF(AND(H50="Selected",COUNTIFS($C$7:$C$66,C50,$H$7:$H$66,"Selected")&gt;1),"Multiple selected offers","Check validity and terms"))))</x:f>
      </x:c>
    </x:row>
    <x:row r="51" ht="23" customHeight="1">
      <x:c r="A51" s="5"/>
      <x:c r="B51" s="5"/>
      <x:c r="C51" s="5"/>
      <x:c r="D51" s="5"/>
      <x:c r="E51" s="23"/>
      <x:c r="F51" s="23"/>
      <x:c r="G51" s="7"/>
      <x:c r="H51" s="5"/>
      <x:c r="I51" s="5"/>
      <x:c r="J51" s="5"/>
      <x:c r="K51" s="2" t="str">
        <x:f>IF(A51="","",IF(COUNTIFS($A$7:$A$66,A51)&gt;1,"Duplicate quote ID",IF(OR(B51="",C51="",COUNT(G51)=0),"Missing quote fields",IF(AND(H51="Selected",COUNTIFS($C$7:$C$66,C51,$H$7:$H$66,"Selected")&gt;1),"Multiple selected offers","Check validity and terms"))))</x:f>
      </x:c>
    </x:row>
    <x:row r="52" ht="23" customHeight="1">
      <x:c r="A52" s="5"/>
      <x:c r="B52" s="5"/>
      <x:c r="C52" s="5"/>
      <x:c r="D52" s="5"/>
      <x:c r="E52" s="23"/>
      <x:c r="F52" s="23"/>
      <x:c r="G52" s="7"/>
      <x:c r="H52" s="5"/>
      <x:c r="I52" s="5"/>
      <x:c r="J52" s="5"/>
      <x:c r="K52" s="2" t="str">
        <x:f>IF(A52="","",IF(COUNTIFS($A$7:$A$66,A52)&gt;1,"Duplicate quote ID",IF(OR(B52="",C52="",COUNT(G52)=0),"Missing quote fields",IF(AND(H52="Selected",COUNTIFS($C$7:$C$66,C52,$H$7:$H$66,"Selected")&gt;1),"Multiple selected offers","Check validity and terms"))))</x:f>
      </x:c>
    </x:row>
    <x:row r="53" ht="23" customHeight="1">
      <x:c r="A53" s="5"/>
      <x:c r="B53" s="5"/>
      <x:c r="C53" s="5"/>
      <x:c r="D53" s="5"/>
      <x:c r="E53" s="23"/>
      <x:c r="F53" s="23"/>
      <x:c r="G53" s="7"/>
      <x:c r="H53" s="5"/>
      <x:c r="I53" s="5"/>
      <x:c r="J53" s="5"/>
      <x:c r="K53" s="2" t="str">
        <x:f>IF(A53="","",IF(COUNTIFS($A$7:$A$66,A53)&gt;1,"Duplicate quote ID",IF(OR(B53="",C53="",COUNT(G53)=0),"Missing quote fields",IF(AND(H53="Selected",COUNTIFS($C$7:$C$66,C53,$H$7:$H$66,"Selected")&gt;1),"Multiple selected offers","Check validity and terms"))))</x:f>
      </x:c>
    </x:row>
    <x:row r="54" ht="23" customHeight="1">
      <x:c r="A54" s="5"/>
      <x:c r="B54" s="5"/>
      <x:c r="C54" s="5"/>
      <x:c r="D54" s="5"/>
      <x:c r="E54" s="23"/>
      <x:c r="F54" s="23"/>
      <x:c r="G54" s="7"/>
      <x:c r="H54" s="5"/>
      <x:c r="I54" s="5"/>
      <x:c r="J54" s="5"/>
      <x:c r="K54" s="2" t="str">
        <x:f>IF(A54="","",IF(COUNTIFS($A$7:$A$66,A54)&gt;1,"Duplicate quote ID",IF(OR(B54="",C54="",COUNT(G54)=0),"Missing quote fields",IF(AND(H54="Selected",COUNTIFS($C$7:$C$66,C54,$H$7:$H$66,"Selected")&gt;1),"Multiple selected offers","Check validity and terms"))))</x:f>
      </x:c>
    </x:row>
    <x:row r="55" ht="23" customHeight="1">
      <x:c r="A55" s="5"/>
      <x:c r="B55" s="5"/>
      <x:c r="C55" s="5"/>
      <x:c r="D55" s="5"/>
      <x:c r="E55" s="23"/>
      <x:c r="F55" s="23"/>
      <x:c r="G55" s="7"/>
      <x:c r="H55" s="5"/>
      <x:c r="I55" s="5"/>
      <x:c r="J55" s="5"/>
      <x:c r="K55" s="2" t="str">
        <x:f>IF(A55="","",IF(COUNTIFS($A$7:$A$66,A55)&gt;1,"Duplicate quote ID",IF(OR(B55="",C55="",COUNT(G55)=0),"Missing quote fields",IF(AND(H55="Selected",COUNTIFS($C$7:$C$66,C55,$H$7:$H$66,"Selected")&gt;1),"Multiple selected offers","Check validity and terms"))))</x:f>
      </x:c>
    </x:row>
    <x:row r="56" ht="23" customHeight="1">
      <x:c r="A56" s="5"/>
      <x:c r="B56" s="5"/>
      <x:c r="C56" s="5"/>
      <x:c r="D56" s="5"/>
      <x:c r="E56" s="23"/>
      <x:c r="F56" s="23"/>
      <x:c r="G56" s="7"/>
      <x:c r="H56" s="5"/>
      <x:c r="I56" s="5"/>
      <x:c r="J56" s="5"/>
      <x:c r="K56" s="2" t="str">
        <x:f>IF(A56="","",IF(COUNTIFS($A$7:$A$66,A56)&gt;1,"Duplicate quote ID",IF(OR(B56="",C56="",COUNT(G56)=0),"Missing quote fields",IF(AND(H56="Selected",COUNTIFS($C$7:$C$66,C56,$H$7:$H$66,"Selected")&gt;1),"Multiple selected offers","Check validity and terms"))))</x:f>
      </x:c>
    </x:row>
    <x:row r="57" ht="23" customHeight="1">
      <x:c r="A57" s="5"/>
      <x:c r="B57" s="5"/>
      <x:c r="C57" s="5"/>
      <x:c r="D57" s="5"/>
      <x:c r="E57" s="23"/>
      <x:c r="F57" s="23"/>
      <x:c r="G57" s="7"/>
      <x:c r="H57" s="5"/>
      <x:c r="I57" s="5"/>
      <x:c r="J57" s="5"/>
      <x:c r="K57" s="2" t="str">
        <x:f>IF(A57="","",IF(COUNTIFS($A$7:$A$66,A57)&gt;1,"Duplicate quote ID",IF(OR(B57="",C57="",COUNT(G57)=0),"Missing quote fields",IF(AND(H57="Selected",COUNTIFS($C$7:$C$66,C57,$H$7:$H$66,"Selected")&gt;1),"Multiple selected offers","Check validity and terms"))))</x:f>
      </x:c>
    </x:row>
    <x:row r="58" ht="23" customHeight="1">
      <x:c r="A58" s="5"/>
      <x:c r="B58" s="5"/>
      <x:c r="C58" s="5"/>
      <x:c r="D58" s="5"/>
      <x:c r="E58" s="23"/>
      <x:c r="F58" s="23"/>
      <x:c r="G58" s="7"/>
      <x:c r="H58" s="5"/>
      <x:c r="I58" s="5"/>
      <x:c r="J58" s="5"/>
      <x:c r="K58" s="2" t="str">
        <x:f>IF(A58="","",IF(COUNTIFS($A$7:$A$66,A58)&gt;1,"Duplicate quote ID",IF(OR(B58="",C58="",COUNT(G58)=0),"Missing quote fields",IF(AND(H58="Selected",COUNTIFS($C$7:$C$66,C58,$H$7:$H$66,"Selected")&gt;1),"Multiple selected offers","Check validity and terms"))))</x:f>
      </x:c>
    </x:row>
    <x:row r="59" ht="23" customHeight="1">
      <x:c r="A59" s="5"/>
      <x:c r="B59" s="5"/>
      <x:c r="C59" s="5"/>
      <x:c r="D59" s="5"/>
      <x:c r="E59" s="23"/>
      <x:c r="F59" s="23"/>
      <x:c r="G59" s="7"/>
      <x:c r="H59" s="5"/>
      <x:c r="I59" s="5"/>
      <x:c r="J59" s="5"/>
      <x:c r="K59" s="2" t="str">
        <x:f>IF(A59="","",IF(COUNTIFS($A$7:$A$66,A59)&gt;1,"Duplicate quote ID",IF(OR(B59="",C59="",COUNT(G59)=0),"Missing quote fields",IF(AND(H59="Selected",COUNTIFS($C$7:$C$66,C59,$H$7:$H$66,"Selected")&gt;1),"Multiple selected offers","Check validity and terms"))))</x:f>
      </x:c>
    </x:row>
    <x:row r="60" ht="23" customHeight="1">
      <x:c r="A60" s="5"/>
      <x:c r="B60" s="5"/>
      <x:c r="C60" s="5"/>
      <x:c r="D60" s="5"/>
      <x:c r="E60" s="23"/>
      <x:c r="F60" s="23"/>
      <x:c r="G60" s="7"/>
      <x:c r="H60" s="5"/>
      <x:c r="I60" s="5"/>
      <x:c r="J60" s="5"/>
      <x:c r="K60" s="2" t="str">
        <x:f>IF(A60="","",IF(COUNTIFS($A$7:$A$66,A60)&gt;1,"Duplicate quote ID",IF(OR(B60="",C60="",COUNT(G60)=0),"Missing quote fields",IF(AND(H60="Selected",COUNTIFS($C$7:$C$66,C60,$H$7:$H$66,"Selected")&gt;1),"Multiple selected offers","Check validity and terms"))))</x:f>
      </x:c>
    </x:row>
    <x:row r="61" ht="23" customHeight="1">
      <x:c r="A61" s="5"/>
      <x:c r="B61" s="5"/>
      <x:c r="C61" s="5"/>
      <x:c r="D61" s="5"/>
      <x:c r="E61" s="23"/>
      <x:c r="F61" s="23"/>
      <x:c r="G61" s="7"/>
      <x:c r="H61" s="5"/>
      <x:c r="I61" s="5"/>
      <x:c r="J61" s="5"/>
      <x:c r="K61" s="2" t="str">
        <x:f>IF(A61="","",IF(COUNTIFS($A$7:$A$66,A61)&gt;1,"Duplicate quote ID",IF(OR(B61="",C61="",COUNT(G61)=0),"Missing quote fields",IF(AND(H61="Selected",COUNTIFS($C$7:$C$66,C61,$H$7:$H$66,"Selected")&gt;1),"Multiple selected offers","Check validity and terms"))))</x:f>
      </x:c>
    </x:row>
    <x:row r="62" ht="23" customHeight="1">
      <x:c r="A62" s="5"/>
      <x:c r="B62" s="5"/>
      <x:c r="C62" s="5"/>
      <x:c r="D62" s="5"/>
      <x:c r="E62" s="23"/>
      <x:c r="F62" s="23"/>
      <x:c r="G62" s="7"/>
      <x:c r="H62" s="5"/>
      <x:c r="I62" s="5"/>
      <x:c r="J62" s="5"/>
      <x:c r="K62" s="2" t="str">
        <x:f>IF(A62="","",IF(COUNTIFS($A$7:$A$66,A62)&gt;1,"Duplicate quote ID",IF(OR(B62="",C62="",COUNT(G62)=0),"Missing quote fields",IF(AND(H62="Selected",COUNTIFS($C$7:$C$66,C62,$H$7:$H$66,"Selected")&gt;1),"Multiple selected offers","Check validity and terms"))))</x:f>
      </x:c>
    </x:row>
    <x:row r="63" ht="23" customHeight="1">
      <x:c r="A63" s="5"/>
      <x:c r="B63" s="5"/>
      <x:c r="C63" s="5"/>
      <x:c r="D63" s="5"/>
      <x:c r="E63" s="23"/>
      <x:c r="F63" s="23"/>
      <x:c r="G63" s="7"/>
      <x:c r="H63" s="5"/>
      <x:c r="I63" s="5"/>
      <x:c r="J63" s="5"/>
      <x:c r="K63" s="2" t="str">
        <x:f>IF(A63="","",IF(COUNTIFS($A$7:$A$66,A63)&gt;1,"Duplicate quote ID",IF(OR(B63="",C63="",COUNT(G63)=0),"Missing quote fields",IF(AND(H63="Selected",COUNTIFS($C$7:$C$66,C63,$H$7:$H$66,"Selected")&gt;1),"Multiple selected offers","Check validity and terms"))))</x:f>
      </x:c>
    </x:row>
    <x:row r="64" ht="23" customHeight="1">
      <x:c r="A64" s="5"/>
      <x:c r="B64" s="5"/>
      <x:c r="C64" s="5"/>
      <x:c r="D64" s="5"/>
      <x:c r="E64" s="23"/>
      <x:c r="F64" s="23"/>
      <x:c r="G64" s="7"/>
      <x:c r="H64" s="5"/>
      <x:c r="I64" s="5"/>
      <x:c r="J64" s="5"/>
      <x:c r="K64" s="2" t="str">
        <x:f>IF(A64="","",IF(COUNTIFS($A$7:$A$66,A64)&gt;1,"Duplicate quote ID",IF(OR(B64="",C64="",COUNT(G64)=0),"Missing quote fields",IF(AND(H64="Selected",COUNTIFS($C$7:$C$66,C64,$H$7:$H$66,"Selected")&gt;1),"Multiple selected offers","Check validity and terms"))))</x:f>
      </x:c>
    </x:row>
    <x:row r="65" ht="23" customHeight="1">
      <x:c r="A65" s="5"/>
      <x:c r="B65" s="5"/>
      <x:c r="C65" s="5"/>
      <x:c r="D65" s="5"/>
      <x:c r="E65" s="23"/>
      <x:c r="F65" s="23"/>
      <x:c r="G65" s="7"/>
      <x:c r="H65" s="5"/>
      <x:c r="I65" s="5"/>
      <x:c r="J65" s="5"/>
      <x:c r="K65" s="2" t="str">
        <x:f>IF(A65="","",IF(COUNTIFS($A$7:$A$66,A65)&gt;1,"Duplicate quote ID",IF(OR(B65="",C65="",COUNT(G65)=0),"Missing quote fields",IF(AND(H65="Selected",COUNTIFS($C$7:$C$66,C65,$H$7:$H$66,"Selected")&gt;1),"Multiple selected offers","Check validity and terms"))))</x:f>
      </x:c>
    </x:row>
    <x:row r="66" ht="23" customHeight="1">
      <x:c r="A66" s="5"/>
      <x:c r="B66" s="5"/>
      <x:c r="C66" s="5"/>
      <x:c r="D66" s="5"/>
      <x:c r="E66" s="23"/>
      <x:c r="F66" s="23"/>
      <x:c r="G66" s="7"/>
      <x:c r="H66" s="5"/>
      <x:c r="I66" s="5"/>
      <x:c r="J66" s="5"/>
      <x:c r="K66" s="2" t="str">
        <x:f>IF(A66="","",IF(COUNTIFS($A$7:$A$66,A66)&gt;1,"Duplicate quote ID",IF(OR(B66="",C66="",COUNT(G66)=0),"Missing quote fields",IF(AND(H66="Selected",COUNTIFS($C$7:$C$66,C66,$H$7:$H$66,"Selected")&gt;1),"Multiple selected offers","Check validity and terms"))))</x:f>
      </x:c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</x:sheetData>
  <x:conditionalFormatting sqref="K7:K66">
    <x:cfRule type="containsText" dxfId="1" priority="1" operator="containsText" text="Multiple"/>
  </x:conditionalFormatting>
  <x:dataValidations count="2">
    <x:dataValidation type="list" sqref="B7:B66">
      <x:formula1>"Coordinator,Field researcher,Local vehicle,Host time / materials,Odia–English interpretation,Field meals, water and admissions,Editorial and data review,Access adjustments"</x:formula1>
    </x:dataValidation>
    <x:dataValidation type="list" sqref="H7:H66">
      <x:formula1>"Received,Selected,Not selected,Expired"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f090ecc09c4da5"/>
  </x:tableParts>
</x:worksheet>
</file>

<file path=xl/worksheets/sheet3.xml><?xml version="1.0" encoding="utf-8"?>
<x:worksheet xmlns:x="http://schemas.openxmlformats.org/spreadsheetml/2006/main">
  <x:sheetPr>
    <x:tabColor rgb="FF19556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33" hidden="0" customWidth="1"/>
    <x:col min="3" max="3" width="26" hidden="0" customWidth="1"/>
    <x:col min="4" max="4" width="15" hidden="0" customWidth="1"/>
    <x:col min="5" max="5" width="16" hidden="0" customWidth="1"/>
    <x:col min="6" max="6" width="20" hidden="0" customWidth="1"/>
    <x:col min="7" max="7" width="20" hidden="0" customWidth="1"/>
    <x:col min="8" max="8" width="18" hidden="0" customWidth="1"/>
    <x:col min="9" max="9" width="23" hidden="0" customWidth="1"/>
    <x:col min="10" max="10" width="24" hidden="0" customWidth="1"/>
    <x:col min="11" max="11" width="2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Commitments and payments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 t="str">
        <x:v>One row per obligation. Update cumulative net paid on that row; do not repeat commitments for deposits.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Use aliases and restricted evidence references. Blank is unknown; zero is a confirmed zero.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8" customHeight="1">
      <x:c r="A6" s="11" t="str">
        <x:v>Expense ID</x:v>
      </x:c>
      <x:c r="B6" s="11" t="str">
        <x:v>Category</x:v>
      </x:c>
      <x:c r="C6" s="11" t="str">
        <x:v>Scope ID / item</x:v>
      </x:c>
      <x:c r="D6" s="11" t="str">
        <x:v>Quote ID</x:v>
      </x:c>
      <x:c r="E6" s="11" t="str">
        <x:v>Agreed date</x:v>
      </x:c>
      <x:c r="F6" s="11" t="str">
        <x:v>Committed INR</x:v>
      </x:c>
      <x:c r="G6" s="11" t="str">
        <x:v>Net paid INR</x:v>
      </x:c>
      <x:c r="H6" s="11" t="str">
        <x:v>Unpaid INR</x:v>
      </x:c>
      <x:c r="I6" s="11" t="str">
        <x:v>Approval reference</x:v>
      </x:c>
      <x:c r="J6" s="11" t="str">
        <x:v>Receipt reference</x:v>
      </x:c>
      <x:c r="K6" s="11" t="str">
        <x:v>Review</x:v>
      </x:c>
    </x:row>
    <x:row r="7" ht="23" customHeight="1">
      <x:c r="A7" s="5"/>
      <x:c r="B7" s="5"/>
      <x:c r="C7" s="5"/>
      <x:c r="D7" s="5"/>
      <x:c r="E7" s="23"/>
      <x:c r="F7" s="7"/>
      <x:c r="G7" s="7"/>
      <x:c r="H7" s="6" t="str">
        <x:f>IF(COUNT(F7:G7)&lt;2,"",F7-G7)</x:f>
      </x:c>
      <x:c r="I7" s="5"/>
      <x:c r="J7" s="5"/>
      <x:c r="K7" s="2" t="str">
        <x:f>IF(A7="","",IF(COUNTIFS($A$7:$A$66,A7)&gt;1,"Duplicate expense ID",IF(OR(B7="",C7="",COUNT(F7)=0,I7=""),"Missing approval / fields",IF(COUNT(G7)=0,"Payment not recorded",IF(G7&gt;F7,"Paid exceeds commitment",IF(J7="","Receipt not recorded","Reconcile evidence"))))))</x:f>
      </x:c>
    </x:row>
    <x:row r="8" ht="23" customHeight="1">
      <x:c r="A8" s="5"/>
      <x:c r="B8" s="5"/>
      <x:c r="C8" s="5"/>
      <x:c r="D8" s="5"/>
      <x:c r="E8" s="23"/>
      <x:c r="F8" s="7"/>
      <x:c r="G8" s="7"/>
      <x:c r="H8" s="6" t="str">
        <x:f>IF(COUNT(F8:G8)&lt;2,"",F8-G8)</x:f>
      </x:c>
      <x:c r="I8" s="5"/>
      <x:c r="J8" s="5"/>
      <x:c r="K8" s="2" t="str">
        <x:f>IF(A8="","",IF(COUNTIFS($A$7:$A$66,A8)&gt;1,"Duplicate expense ID",IF(OR(B8="",C8="",COUNT(F8)=0,I8=""),"Missing approval / fields",IF(COUNT(G8)=0,"Payment not recorded",IF(G8&gt;F8,"Paid exceeds commitment",IF(J8="","Receipt not recorded","Reconcile evidence"))))))</x:f>
      </x:c>
    </x:row>
    <x:row r="9" ht="23" customHeight="1">
      <x:c r="A9" s="5"/>
      <x:c r="B9" s="5"/>
      <x:c r="C9" s="5"/>
      <x:c r="D9" s="5"/>
      <x:c r="E9" s="23"/>
      <x:c r="F9" s="7"/>
      <x:c r="G9" s="7"/>
      <x:c r="H9" s="6" t="str">
        <x:f>IF(COUNT(F9:G9)&lt;2,"",F9-G9)</x:f>
      </x:c>
      <x:c r="I9" s="5"/>
      <x:c r="J9" s="5"/>
      <x:c r="K9" s="2" t="str">
        <x:f>IF(A9="","",IF(COUNTIFS($A$7:$A$66,A9)&gt;1,"Duplicate expense ID",IF(OR(B9="",C9="",COUNT(F9)=0,I9=""),"Missing approval / fields",IF(COUNT(G9)=0,"Payment not recorded",IF(G9&gt;F9,"Paid exceeds commitment",IF(J9="","Receipt not recorded","Reconcile evidence"))))))</x:f>
      </x:c>
    </x:row>
    <x:row r="10" ht="23" customHeight="1">
      <x:c r="A10" s="5"/>
      <x:c r="B10" s="5"/>
      <x:c r="C10" s="5"/>
      <x:c r="D10" s="5"/>
      <x:c r="E10" s="23"/>
      <x:c r="F10" s="7"/>
      <x:c r="G10" s="7"/>
      <x:c r="H10" s="6" t="str">
        <x:f>IF(COUNT(F10:G10)&lt;2,"",F10-G10)</x:f>
      </x:c>
      <x:c r="I10" s="5"/>
      <x:c r="J10" s="5"/>
      <x:c r="K10" s="2" t="str">
        <x:f>IF(A10="","",IF(COUNTIFS($A$7:$A$66,A10)&gt;1,"Duplicate expense ID",IF(OR(B10="",C10="",COUNT(F10)=0,I10=""),"Missing approval / fields",IF(COUNT(G10)=0,"Payment not recorded",IF(G10&gt;F10,"Paid exceeds commitment",IF(J10="","Receipt not recorded","Reconcile evidence"))))))</x:f>
      </x:c>
    </x:row>
    <x:row r="11" ht="23" customHeight="1">
      <x:c r="A11" s="5"/>
      <x:c r="B11" s="5"/>
      <x:c r="C11" s="5"/>
      <x:c r="D11" s="5"/>
      <x:c r="E11" s="23"/>
      <x:c r="F11" s="7"/>
      <x:c r="G11" s="7"/>
      <x:c r="H11" s="6" t="str">
        <x:f>IF(COUNT(F11:G11)&lt;2,"",F11-G11)</x:f>
      </x:c>
      <x:c r="I11" s="5"/>
      <x:c r="J11" s="5"/>
      <x:c r="K11" s="2" t="str">
        <x:f>IF(A11="","",IF(COUNTIFS($A$7:$A$66,A11)&gt;1,"Duplicate expense ID",IF(OR(B11="",C11="",COUNT(F11)=0,I11=""),"Missing approval / fields",IF(COUNT(G11)=0,"Payment not recorded",IF(G11&gt;F11,"Paid exceeds commitment",IF(J11="","Receipt not recorded","Reconcile evidence"))))))</x:f>
      </x:c>
    </x:row>
    <x:row r="12" ht="23" customHeight="1">
      <x:c r="A12" s="5"/>
      <x:c r="B12" s="5"/>
      <x:c r="C12" s="5"/>
      <x:c r="D12" s="5"/>
      <x:c r="E12" s="23"/>
      <x:c r="F12" s="7"/>
      <x:c r="G12" s="7"/>
      <x:c r="H12" s="6" t="str">
        <x:f>IF(COUNT(F12:G12)&lt;2,"",F12-G12)</x:f>
      </x:c>
      <x:c r="I12" s="5"/>
      <x:c r="J12" s="5"/>
      <x:c r="K12" s="2" t="str">
        <x:f>IF(A12="","",IF(COUNTIFS($A$7:$A$66,A12)&gt;1,"Duplicate expense ID",IF(OR(B12="",C12="",COUNT(F12)=0,I12=""),"Missing approval / fields",IF(COUNT(G12)=0,"Payment not recorded",IF(G12&gt;F12,"Paid exceeds commitment",IF(J12="","Receipt not recorded","Reconcile evidence"))))))</x:f>
      </x:c>
    </x:row>
    <x:row r="13" ht="23" customHeight="1">
      <x:c r="A13" s="5"/>
      <x:c r="B13" s="5"/>
      <x:c r="C13" s="5"/>
      <x:c r="D13" s="5"/>
      <x:c r="E13" s="23"/>
      <x:c r="F13" s="7"/>
      <x:c r="G13" s="7"/>
      <x:c r="H13" s="6" t="str">
        <x:f>IF(COUNT(F13:G13)&lt;2,"",F13-G13)</x:f>
      </x:c>
      <x:c r="I13" s="5"/>
      <x:c r="J13" s="5"/>
      <x:c r="K13" s="2" t="str">
        <x:f>IF(A13="","",IF(COUNTIFS($A$7:$A$66,A13)&gt;1,"Duplicate expense ID",IF(OR(B13="",C13="",COUNT(F13)=0,I13=""),"Missing approval / fields",IF(COUNT(G13)=0,"Payment not recorded",IF(G13&gt;F13,"Paid exceeds commitment",IF(J13="","Receipt not recorded","Reconcile evidence"))))))</x:f>
      </x:c>
    </x:row>
    <x:row r="14" ht="23" customHeight="1">
      <x:c r="A14" s="5"/>
      <x:c r="B14" s="5"/>
      <x:c r="C14" s="5"/>
      <x:c r="D14" s="5"/>
      <x:c r="E14" s="23"/>
      <x:c r="F14" s="7"/>
      <x:c r="G14" s="7"/>
      <x:c r="H14" s="6" t="str">
        <x:f>IF(COUNT(F14:G14)&lt;2,"",F14-G14)</x:f>
      </x:c>
      <x:c r="I14" s="5"/>
      <x:c r="J14" s="5"/>
      <x:c r="K14" s="2" t="str">
        <x:f>IF(A14="","",IF(COUNTIFS($A$7:$A$66,A14)&gt;1,"Duplicate expense ID",IF(OR(B14="",C14="",COUNT(F14)=0,I14=""),"Missing approval / fields",IF(COUNT(G14)=0,"Payment not recorded",IF(G14&gt;F14,"Paid exceeds commitment",IF(J14="","Receipt not recorded","Reconcile evidence"))))))</x:f>
      </x:c>
    </x:row>
    <x:row r="15" ht="23" customHeight="1">
      <x:c r="A15" s="5"/>
      <x:c r="B15" s="5"/>
      <x:c r="C15" s="5"/>
      <x:c r="D15" s="5"/>
      <x:c r="E15" s="23"/>
      <x:c r="F15" s="7"/>
      <x:c r="G15" s="7"/>
      <x:c r="H15" s="6" t="str">
        <x:f>IF(COUNT(F15:G15)&lt;2,"",F15-G15)</x:f>
      </x:c>
      <x:c r="I15" s="5"/>
      <x:c r="J15" s="5"/>
      <x:c r="K15" s="2" t="str">
        <x:f>IF(A15="","",IF(COUNTIFS($A$7:$A$66,A15)&gt;1,"Duplicate expense ID",IF(OR(B15="",C15="",COUNT(F15)=0,I15=""),"Missing approval / fields",IF(COUNT(G15)=0,"Payment not recorded",IF(G15&gt;F15,"Paid exceeds commitment",IF(J15="","Receipt not recorded","Reconcile evidence"))))))</x:f>
      </x:c>
    </x:row>
    <x:row r="16" ht="23" customHeight="1">
      <x:c r="A16" s="5"/>
      <x:c r="B16" s="5"/>
      <x:c r="C16" s="5"/>
      <x:c r="D16" s="5"/>
      <x:c r="E16" s="23"/>
      <x:c r="F16" s="7"/>
      <x:c r="G16" s="7"/>
      <x:c r="H16" s="6" t="str">
        <x:f>IF(COUNT(F16:G16)&lt;2,"",F16-G16)</x:f>
      </x:c>
      <x:c r="I16" s="5"/>
      <x:c r="J16" s="5"/>
      <x:c r="K16" s="2" t="str">
        <x:f>IF(A16="","",IF(COUNTIFS($A$7:$A$66,A16)&gt;1,"Duplicate expense ID",IF(OR(B16="",C16="",COUNT(F16)=0,I16=""),"Missing approval / fields",IF(COUNT(G16)=0,"Payment not recorded",IF(G16&gt;F16,"Paid exceeds commitment",IF(J16="","Receipt not recorded","Reconcile evidence"))))))</x:f>
      </x:c>
    </x:row>
    <x:row r="17" ht="23" customHeight="1">
      <x:c r="A17" s="5"/>
      <x:c r="B17" s="5"/>
      <x:c r="C17" s="5"/>
      <x:c r="D17" s="5"/>
      <x:c r="E17" s="23"/>
      <x:c r="F17" s="7"/>
      <x:c r="G17" s="7"/>
      <x:c r="H17" s="6" t="str">
        <x:f>IF(COUNT(F17:G17)&lt;2,"",F17-G17)</x:f>
      </x:c>
      <x:c r="I17" s="5"/>
      <x:c r="J17" s="5"/>
      <x:c r="K17" s="2" t="str">
        <x:f>IF(A17="","",IF(COUNTIFS($A$7:$A$66,A17)&gt;1,"Duplicate expense ID",IF(OR(B17="",C17="",COUNT(F17)=0,I17=""),"Missing approval / fields",IF(COUNT(G17)=0,"Payment not recorded",IF(G17&gt;F17,"Paid exceeds commitment",IF(J17="","Receipt not recorded","Reconcile evidence"))))))</x:f>
      </x:c>
    </x:row>
    <x:row r="18" ht="23" customHeight="1">
      <x:c r="A18" s="5"/>
      <x:c r="B18" s="5"/>
      <x:c r="C18" s="5"/>
      <x:c r="D18" s="5"/>
      <x:c r="E18" s="23"/>
      <x:c r="F18" s="7"/>
      <x:c r="G18" s="7"/>
      <x:c r="H18" s="6" t="str">
        <x:f>IF(COUNT(F18:G18)&lt;2,"",F18-G18)</x:f>
      </x:c>
      <x:c r="I18" s="5"/>
      <x:c r="J18" s="5"/>
      <x:c r="K18" s="2" t="str">
        <x:f>IF(A18="","",IF(COUNTIFS($A$7:$A$66,A18)&gt;1,"Duplicate expense ID",IF(OR(B18="",C18="",COUNT(F18)=0,I18=""),"Missing approval / fields",IF(COUNT(G18)=0,"Payment not recorded",IF(G18&gt;F18,"Paid exceeds commitment",IF(J18="","Receipt not recorded","Reconcile evidence"))))))</x:f>
      </x:c>
    </x:row>
    <x:row r="19" ht="23" customHeight="1">
      <x:c r="A19" s="5"/>
      <x:c r="B19" s="5"/>
      <x:c r="C19" s="5"/>
      <x:c r="D19" s="5"/>
      <x:c r="E19" s="23"/>
      <x:c r="F19" s="7"/>
      <x:c r="G19" s="7"/>
      <x:c r="H19" s="6" t="str">
        <x:f>IF(COUNT(F19:G19)&lt;2,"",F19-G19)</x:f>
      </x:c>
      <x:c r="I19" s="5"/>
      <x:c r="J19" s="5"/>
      <x:c r="K19" s="2" t="str">
        <x:f>IF(A19="","",IF(COUNTIFS($A$7:$A$66,A19)&gt;1,"Duplicate expense ID",IF(OR(B19="",C19="",COUNT(F19)=0,I19=""),"Missing approval / fields",IF(COUNT(G19)=0,"Payment not recorded",IF(G19&gt;F19,"Paid exceeds commitment",IF(J19="","Receipt not recorded","Reconcile evidence"))))))</x:f>
      </x:c>
    </x:row>
    <x:row r="20" ht="23" customHeight="1">
      <x:c r="A20" s="5"/>
      <x:c r="B20" s="5"/>
      <x:c r="C20" s="5"/>
      <x:c r="D20" s="5"/>
      <x:c r="E20" s="23"/>
      <x:c r="F20" s="7"/>
      <x:c r="G20" s="7"/>
      <x:c r="H20" s="6" t="str">
        <x:f>IF(COUNT(F20:G20)&lt;2,"",F20-G20)</x:f>
      </x:c>
      <x:c r="I20" s="5"/>
      <x:c r="J20" s="5"/>
      <x:c r="K20" s="2" t="str">
        <x:f>IF(A20="","",IF(COUNTIFS($A$7:$A$66,A20)&gt;1,"Duplicate expense ID",IF(OR(B20="",C20="",COUNT(F20)=0,I20=""),"Missing approval / fields",IF(COUNT(G20)=0,"Payment not recorded",IF(G20&gt;F20,"Paid exceeds commitment",IF(J20="","Receipt not recorded","Reconcile evidence"))))))</x:f>
      </x:c>
    </x:row>
    <x:row r="21" ht="23" customHeight="1">
      <x:c r="A21" s="5"/>
      <x:c r="B21" s="5"/>
      <x:c r="C21" s="5"/>
      <x:c r="D21" s="5"/>
      <x:c r="E21" s="23"/>
      <x:c r="F21" s="7"/>
      <x:c r="G21" s="7"/>
      <x:c r="H21" s="6" t="str">
        <x:f>IF(COUNT(F21:G21)&lt;2,"",F21-G21)</x:f>
      </x:c>
      <x:c r="I21" s="5"/>
      <x:c r="J21" s="5"/>
      <x:c r="K21" s="2" t="str">
        <x:f>IF(A21="","",IF(COUNTIFS($A$7:$A$66,A21)&gt;1,"Duplicate expense ID",IF(OR(B21="",C21="",COUNT(F21)=0,I21=""),"Missing approval / fields",IF(COUNT(G21)=0,"Payment not recorded",IF(G21&gt;F21,"Paid exceeds commitment",IF(J21="","Receipt not recorded","Reconcile evidence"))))))</x:f>
      </x:c>
    </x:row>
    <x:row r="22" ht="23" customHeight="1">
      <x:c r="A22" s="5"/>
      <x:c r="B22" s="5"/>
      <x:c r="C22" s="5"/>
      <x:c r="D22" s="5"/>
      <x:c r="E22" s="23"/>
      <x:c r="F22" s="7"/>
      <x:c r="G22" s="7"/>
      <x:c r="H22" s="6" t="str">
        <x:f>IF(COUNT(F22:G22)&lt;2,"",F22-G22)</x:f>
      </x:c>
      <x:c r="I22" s="5"/>
      <x:c r="J22" s="5"/>
      <x:c r="K22" s="2" t="str">
        <x:f>IF(A22="","",IF(COUNTIFS($A$7:$A$66,A22)&gt;1,"Duplicate expense ID",IF(OR(B22="",C22="",COUNT(F22)=0,I22=""),"Missing approval / fields",IF(COUNT(G22)=0,"Payment not recorded",IF(G22&gt;F22,"Paid exceeds commitment",IF(J22="","Receipt not recorded","Reconcile evidence"))))))</x:f>
      </x:c>
    </x:row>
    <x:row r="23" ht="23" customHeight="1">
      <x:c r="A23" s="5"/>
      <x:c r="B23" s="5"/>
      <x:c r="C23" s="5"/>
      <x:c r="D23" s="5"/>
      <x:c r="E23" s="23"/>
      <x:c r="F23" s="7"/>
      <x:c r="G23" s="7"/>
      <x:c r="H23" s="6" t="str">
        <x:f>IF(COUNT(F23:G23)&lt;2,"",F23-G23)</x:f>
      </x:c>
      <x:c r="I23" s="5"/>
      <x:c r="J23" s="5"/>
      <x:c r="K23" s="2" t="str">
        <x:f>IF(A23="","",IF(COUNTIFS($A$7:$A$66,A23)&gt;1,"Duplicate expense ID",IF(OR(B23="",C23="",COUNT(F23)=0,I23=""),"Missing approval / fields",IF(COUNT(G23)=0,"Payment not recorded",IF(G23&gt;F23,"Paid exceeds commitment",IF(J23="","Receipt not recorded","Reconcile evidence"))))))</x:f>
      </x:c>
    </x:row>
    <x:row r="24" ht="23" customHeight="1">
      <x:c r="A24" s="5"/>
      <x:c r="B24" s="5"/>
      <x:c r="C24" s="5"/>
      <x:c r="D24" s="5"/>
      <x:c r="E24" s="23"/>
      <x:c r="F24" s="7"/>
      <x:c r="G24" s="7"/>
      <x:c r="H24" s="6" t="str">
        <x:f>IF(COUNT(F24:G24)&lt;2,"",F24-G24)</x:f>
      </x:c>
      <x:c r="I24" s="5"/>
      <x:c r="J24" s="5"/>
      <x:c r="K24" s="2" t="str">
        <x:f>IF(A24="","",IF(COUNTIFS($A$7:$A$66,A24)&gt;1,"Duplicate expense ID",IF(OR(B24="",C24="",COUNT(F24)=0,I24=""),"Missing approval / fields",IF(COUNT(G24)=0,"Payment not recorded",IF(G24&gt;F24,"Paid exceeds commitment",IF(J24="","Receipt not recorded","Reconcile evidence"))))))</x:f>
      </x:c>
    </x:row>
    <x:row r="25" ht="23" customHeight="1">
      <x:c r="A25" s="5"/>
      <x:c r="B25" s="5"/>
      <x:c r="C25" s="5"/>
      <x:c r="D25" s="5"/>
      <x:c r="E25" s="23"/>
      <x:c r="F25" s="7"/>
      <x:c r="G25" s="7"/>
      <x:c r="H25" s="6" t="str">
        <x:f>IF(COUNT(F25:G25)&lt;2,"",F25-G25)</x:f>
      </x:c>
      <x:c r="I25" s="5"/>
      <x:c r="J25" s="5"/>
      <x:c r="K25" s="2" t="str">
        <x:f>IF(A25="","",IF(COUNTIFS($A$7:$A$66,A25)&gt;1,"Duplicate expense ID",IF(OR(B25="",C25="",COUNT(F25)=0,I25=""),"Missing approval / fields",IF(COUNT(G25)=0,"Payment not recorded",IF(G25&gt;F25,"Paid exceeds commitment",IF(J25="","Receipt not recorded","Reconcile evidence"))))))</x:f>
      </x:c>
    </x:row>
    <x:row r="26" ht="23" customHeight="1">
      <x:c r="A26" s="5"/>
      <x:c r="B26" s="5"/>
      <x:c r="C26" s="5"/>
      <x:c r="D26" s="5"/>
      <x:c r="E26" s="23"/>
      <x:c r="F26" s="7"/>
      <x:c r="G26" s="7"/>
      <x:c r="H26" s="6" t="str">
        <x:f>IF(COUNT(F26:G26)&lt;2,"",F26-G26)</x:f>
      </x:c>
      <x:c r="I26" s="5"/>
      <x:c r="J26" s="5"/>
      <x:c r="K26" s="2" t="str">
        <x:f>IF(A26="","",IF(COUNTIFS($A$7:$A$66,A26)&gt;1,"Duplicate expense ID",IF(OR(B26="",C26="",COUNT(F26)=0,I26=""),"Missing approval / fields",IF(COUNT(G26)=0,"Payment not recorded",IF(G26&gt;F26,"Paid exceeds commitment",IF(J26="","Receipt not recorded","Reconcile evidence"))))))</x:f>
      </x:c>
    </x:row>
    <x:row r="27" ht="23" customHeight="1">
      <x:c r="A27" s="5"/>
      <x:c r="B27" s="5"/>
      <x:c r="C27" s="5"/>
      <x:c r="D27" s="5"/>
      <x:c r="E27" s="23"/>
      <x:c r="F27" s="7"/>
      <x:c r="G27" s="7"/>
      <x:c r="H27" s="6" t="str">
        <x:f>IF(COUNT(F27:G27)&lt;2,"",F27-G27)</x:f>
      </x:c>
      <x:c r="I27" s="5"/>
      <x:c r="J27" s="5"/>
      <x:c r="K27" s="2" t="str">
        <x:f>IF(A27="","",IF(COUNTIFS($A$7:$A$66,A27)&gt;1,"Duplicate expense ID",IF(OR(B27="",C27="",COUNT(F27)=0,I27=""),"Missing approval / fields",IF(COUNT(G27)=0,"Payment not recorded",IF(G27&gt;F27,"Paid exceeds commitment",IF(J27="","Receipt not recorded","Reconcile evidence"))))))</x:f>
      </x:c>
    </x:row>
    <x:row r="28" ht="23" customHeight="1">
      <x:c r="A28" s="5"/>
      <x:c r="B28" s="5"/>
      <x:c r="C28" s="5"/>
      <x:c r="D28" s="5"/>
      <x:c r="E28" s="23"/>
      <x:c r="F28" s="7"/>
      <x:c r="G28" s="7"/>
      <x:c r="H28" s="6" t="str">
        <x:f>IF(COUNT(F28:G28)&lt;2,"",F28-G28)</x:f>
      </x:c>
      <x:c r="I28" s="5"/>
      <x:c r="J28" s="5"/>
      <x:c r="K28" s="2" t="str">
        <x:f>IF(A28="","",IF(COUNTIFS($A$7:$A$66,A28)&gt;1,"Duplicate expense ID",IF(OR(B28="",C28="",COUNT(F28)=0,I28=""),"Missing approval / fields",IF(COUNT(G28)=0,"Payment not recorded",IF(G28&gt;F28,"Paid exceeds commitment",IF(J28="","Receipt not recorded","Reconcile evidence"))))))</x:f>
      </x:c>
    </x:row>
    <x:row r="29" ht="23" customHeight="1">
      <x:c r="A29" s="5"/>
      <x:c r="B29" s="5"/>
      <x:c r="C29" s="5"/>
      <x:c r="D29" s="5"/>
      <x:c r="E29" s="23"/>
      <x:c r="F29" s="7"/>
      <x:c r="G29" s="7"/>
      <x:c r="H29" s="6" t="str">
        <x:f>IF(COUNT(F29:G29)&lt;2,"",F29-G29)</x:f>
      </x:c>
      <x:c r="I29" s="5"/>
      <x:c r="J29" s="5"/>
      <x:c r="K29" s="2" t="str">
        <x:f>IF(A29="","",IF(COUNTIFS($A$7:$A$66,A29)&gt;1,"Duplicate expense ID",IF(OR(B29="",C29="",COUNT(F29)=0,I29=""),"Missing approval / fields",IF(COUNT(G29)=0,"Payment not recorded",IF(G29&gt;F29,"Paid exceeds commitment",IF(J29="","Receipt not recorded","Reconcile evidence"))))))</x:f>
      </x:c>
    </x:row>
    <x:row r="30" ht="23" customHeight="1">
      <x:c r="A30" s="5"/>
      <x:c r="B30" s="5"/>
      <x:c r="C30" s="5"/>
      <x:c r="D30" s="5"/>
      <x:c r="E30" s="23"/>
      <x:c r="F30" s="7"/>
      <x:c r="G30" s="7"/>
      <x:c r="H30" s="6" t="str">
        <x:f>IF(COUNT(F30:G30)&lt;2,"",F30-G30)</x:f>
      </x:c>
      <x:c r="I30" s="5"/>
      <x:c r="J30" s="5"/>
      <x:c r="K30" s="2" t="str">
        <x:f>IF(A30="","",IF(COUNTIFS($A$7:$A$66,A30)&gt;1,"Duplicate expense ID",IF(OR(B30="",C30="",COUNT(F30)=0,I30=""),"Missing approval / fields",IF(COUNT(G30)=0,"Payment not recorded",IF(G30&gt;F30,"Paid exceeds commitment",IF(J30="","Receipt not recorded","Reconcile evidence"))))))</x:f>
      </x:c>
    </x:row>
    <x:row r="31" ht="23" customHeight="1">
      <x:c r="A31" s="5"/>
      <x:c r="B31" s="5"/>
      <x:c r="C31" s="5"/>
      <x:c r="D31" s="5"/>
      <x:c r="E31" s="23"/>
      <x:c r="F31" s="7"/>
      <x:c r="G31" s="7"/>
      <x:c r="H31" s="6" t="str">
        <x:f>IF(COUNT(F31:G31)&lt;2,"",F31-G31)</x:f>
      </x:c>
      <x:c r="I31" s="5"/>
      <x:c r="J31" s="5"/>
      <x:c r="K31" s="2" t="str">
        <x:f>IF(A31="","",IF(COUNTIFS($A$7:$A$66,A31)&gt;1,"Duplicate expense ID",IF(OR(B31="",C31="",COUNT(F31)=0,I31=""),"Missing approval / fields",IF(COUNT(G31)=0,"Payment not recorded",IF(G31&gt;F31,"Paid exceeds commitment",IF(J31="","Receipt not recorded","Reconcile evidence"))))))</x:f>
      </x:c>
    </x:row>
    <x:row r="32" ht="23" customHeight="1">
      <x:c r="A32" s="5"/>
      <x:c r="B32" s="5"/>
      <x:c r="C32" s="5"/>
      <x:c r="D32" s="5"/>
      <x:c r="E32" s="23"/>
      <x:c r="F32" s="7"/>
      <x:c r="G32" s="7"/>
      <x:c r="H32" s="6" t="str">
        <x:f>IF(COUNT(F32:G32)&lt;2,"",F32-G32)</x:f>
      </x:c>
      <x:c r="I32" s="5"/>
      <x:c r="J32" s="5"/>
      <x:c r="K32" s="2" t="str">
        <x:f>IF(A32="","",IF(COUNTIFS($A$7:$A$66,A32)&gt;1,"Duplicate expense ID",IF(OR(B32="",C32="",COUNT(F32)=0,I32=""),"Missing approval / fields",IF(COUNT(G32)=0,"Payment not recorded",IF(G32&gt;F32,"Paid exceeds commitment",IF(J32="","Receipt not recorded","Reconcile evidence"))))))</x:f>
      </x:c>
    </x:row>
    <x:row r="33" ht="23" customHeight="1">
      <x:c r="A33" s="5"/>
      <x:c r="B33" s="5"/>
      <x:c r="C33" s="5"/>
      <x:c r="D33" s="5"/>
      <x:c r="E33" s="23"/>
      <x:c r="F33" s="7"/>
      <x:c r="G33" s="7"/>
      <x:c r="H33" s="6" t="str">
        <x:f>IF(COUNT(F33:G33)&lt;2,"",F33-G33)</x:f>
      </x:c>
      <x:c r="I33" s="5"/>
      <x:c r="J33" s="5"/>
      <x:c r="K33" s="2" t="str">
        <x:f>IF(A33="","",IF(COUNTIFS($A$7:$A$66,A33)&gt;1,"Duplicate expense ID",IF(OR(B33="",C33="",COUNT(F33)=0,I33=""),"Missing approval / fields",IF(COUNT(G33)=0,"Payment not recorded",IF(G33&gt;F33,"Paid exceeds commitment",IF(J33="","Receipt not recorded","Reconcile evidence"))))))</x:f>
      </x:c>
    </x:row>
    <x:row r="34" ht="23" customHeight="1">
      <x:c r="A34" s="5"/>
      <x:c r="B34" s="5"/>
      <x:c r="C34" s="5"/>
      <x:c r="D34" s="5"/>
      <x:c r="E34" s="23"/>
      <x:c r="F34" s="7"/>
      <x:c r="G34" s="7"/>
      <x:c r="H34" s="6" t="str">
        <x:f>IF(COUNT(F34:G34)&lt;2,"",F34-G34)</x:f>
      </x:c>
      <x:c r="I34" s="5"/>
      <x:c r="J34" s="5"/>
      <x:c r="K34" s="2" t="str">
        <x:f>IF(A34="","",IF(COUNTIFS($A$7:$A$66,A34)&gt;1,"Duplicate expense ID",IF(OR(B34="",C34="",COUNT(F34)=0,I34=""),"Missing approval / fields",IF(COUNT(G34)=0,"Payment not recorded",IF(G34&gt;F34,"Paid exceeds commitment",IF(J34="","Receipt not recorded","Reconcile evidence"))))))</x:f>
      </x:c>
    </x:row>
    <x:row r="35" ht="23" customHeight="1">
      <x:c r="A35" s="5"/>
      <x:c r="B35" s="5"/>
      <x:c r="C35" s="5"/>
      <x:c r="D35" s="5"/>
      <x:c r="E35" s="23"/>
      <x:c r="F35" s="7"/>
      <x:c r="G35" s="7"/>
      <x:c r="H35" s="6" t="str">
        <x:f>IF(COUNT(F35:G35)&lt;2,"",F35-G35)</x:f>
      </x:c>
      <x:c r="I35" s="5"/>
      <x:c r="J35" s="5"/>
      <x:c r="K35" s="2" t="str">
        <x:f>IF(A35="","",IF(COUNTIFS($A$7:$A$66,A35)&gt;1,"Duplicate expense ID",IF(OR(B35="",C35="",COUNT(F35)=0,I35=""),"Missing approval / fields",IF(COUNT(G35)=0,"Payment not recorded",IF(G35&gt;F35,"Paid exceeds commitment",IF(J35="","Receipt not recorded","Reconcile evidence"))))))</x:f>
      </x:c>
    </x:row>
    <x:row r="36" ht="23" customHeight="1">
      <x:c r="A36" s="5"/>
      <x:c r="B36" s="5"/>
      <x:c r="C36" s="5"/>
      <x:c r="D36" s="5"/>
      <x:c r="E36" s="23"/>
      <x:c r="F36" s="7"/>
      <x:c r="G36" s="7"/>
      <x:c r="H36" s="6" t="str">
        <x:f>IF(COUNT(F36:G36)&lt;2,"",F36-G36)</x:f>
      </x:c>
      <x:c r="I36" s="5"/>
      <x:c r="J36" s="5"/>
      <x:c r="K36" s="2" t="str">
        <x:f>IF(A36="","",IF(COUNTIFS($A$7:$A$66,A36)&gt;1,"Duplicate expense ID",IF(OR(B36="",C36="",COUNT(F36)=0,I36=""),"Missing approval / fields",IF(COUNT(G36)=0,"Payment not recorded",IF(G36&gt;F36,"Paid exceeds commitment",IF(J36="","Receipt not recorded","Reconcile evidence"))))))</x:f>
      </x:c>
    </x:row>
    <x:row r="37" ht="23" customHeight="1">
      <x:c r="A37" s="5"/>
      <x:c r="B37" s="5"/>
      <x:c r="C37" s="5"/>
      <x:c r="D37" s="5"/>
      <x:c r="E37" s="23"/>
      <x:c r="F37" s="7"/>
      <x:c r="G37" s="7"/>
      <x:c r="H37" s="6" t="str">
        <x:f>IF(COUNT(F37:G37)&lt;2,"",F37-G37)</x:f>
      </x:c>
      <x:c r="I37" s="5"/>
      <x:c r="J37" s="5"/>
      <x:c r="K37" s="2" t="str">
        <x:f>IF(A37="","",IF(COUNTIFS($A$7:$A$66,A37)&gt;1,"Duplicate expense ID",IF(OR(B37="",C37="",COUNT(F37)=0,I37=""),"Missing approval / fields",IF(COUNT(G37)=0,"Payment not recorded",IF(G37&gt;F37,"Paid exceeds commitment",IF(J37="","Receipt not recorded","Reconcile evidence"))))))</x:f>
      </x:c>
    </x:row>
    <x:row r="38" ht="23" customHeight="1">
      <x:c r="A38" s="5"/>
      <x:c r="B38" s="5"/>
      <x:c r="C38" s="5"/>
      <x:c r="D38" s="5"/>
      <x:c r="E38" s="23"/>
      <x:c r="F38" s="7"/>
      <x:c r="G38" s="7"/>
      <x:c r="H38" s="6" t="str">
        <x:f>IF(COUNT(F38:G38)&lt;2,"",F38-G38)</x:f>
      </x:c>
      <x:c r="I38" s="5"/>
      <x:c r="J38" s="5"/>
      <x:c r="K38" s="2" t="str">
        <x:f>IF(A38="","",IF(COUNTIFS($A$7:$A$66,A38)&gt;1,"Duplicate expense ID",IF(OR(B38="",C38="",COUNT(F38)=0,I38=""),"Missing approval / fields",IF(COUNT(G38)=0,"Payment not recorded",IF(G38&gt;F38,"Paid exceeds commitment",IF(J38="","Receipt not recorded","Reconcile evidence"))))))</x:f>
      </x:c>
    </x:row>
    <x:row r="39" ht="23" customHeight="1">
      <x:c r="A39" s="5"/>
      <x:c r="B39" s="5"/>
      <x:c r="C39" s="5"/>
      <x:c r="D39" s="5"/>
      <x:c r="E39" s="23"/>
      <x:c r="F39" s="7"/>
      <x:c r="G39" s="7"/>
      <x:c r="H39" s="6" t="str">
        <x:f>IF(COUNT(F39:G39)&lt;2,"",F39-G39)</x:f>
      </x:c>
      <x:c r="I39" s="5"/>
      <x:c r="J39" s="5"/>
      <x:c r="K39" s="2" t="str">
        <x:f>IF(A39="","",IF(COUNTIFS($A$7:$A$66,A39)&gt;1,"Duplicate expense ID",IF(OR(B39="",C39="",COUNT(F39)=0,I39=""),"Missing approval / fields",IF(COUNT(G39)=0,"Payment not recorded",IF(G39&gt;F39,"Paid exceeds commitment",IF(J39="","Receipt not recorded","Reconcile evidence"))))))</x:f>
      </x:c>
    </x:row>
    <x:row r="40" ht="23" customHeight="1">
      <x:c r="A40" s="5"/>
      <x:c r="B40" s="5"/>
      <x:c r="C40" s="5"/>
      <x:c r="D40" s="5"/>
      <x:c r="E40" s="23"/>
      <x:c r="F40" s="7"/>
      <x:c r="G40" s="7"/>
      <x:c r="H40" s="6" t="str">
        <x:f>IF(COUNT(F40:G40)&lt;2,"",F40-G40)</x:f>
      </x:c>
      <x:c r="I40" s="5"/>
      <x:c r="J40" s="5"/>
      <x:c r="K40" s="2" t="str">
        <x:f>IF(A40="","",IF(COUNTIFS($A$7:$A$66,A40)&gt;1,"Duplicate expense ID",IF(OR(B40="",C40="",COUNT(F40)=0,I40=""),"Missing approval / fields",IF(COUNT(G40)=0,"Payment not recorded",IF(G40&gt;F40,"Paid exceeds commitment",IF(J40="","Receipt not recorded","Reconcile evidence"))))))</x:f>
      </x:c>
    </x:row>
    <x:row r="41" ht="23" customHeight="1">
      <x:c r="A41" s="5"/>
      <x:c r="B41" s="5"/>
      <x:c r="C41" s="5"/>
      <x:c r="D41" s="5"/>
      <x:c r="E41" s="23"/>
      <x:c r="F41" s="7"/>
      <x:c r="G41" s="7"/>
      <x:c r="H41" s="6" t="str">
        <x:f>IF(COUNT(F41:G41)&lt;2,"",F41-G41)</x:f>
      </x:c>
      <x:c r="I41" s="5"/>
      <x:c r="J41" s="5"/>
      <x:c r="K41" s="2" t="str">
        <x:f>IF(A41="","",IF(COUNTIFS($A$7:$A$66,A41)&gt;1,"Duplicate expense ID",IF(OR(B41="",C41="",COUNT(F41)=0,I41=""),"Missing approval / fields",IF(COUNT(G41)=0,"Payment not recorded",IF(G41&gt;F41,"Paid exceeds commitment",IF(J41="","Receipt not recorded","Reconcile evidence"))))))</x:f>
      </x:c>
    </x:row>
    <x:row r="42" ht="23" customHeight="1">
      <x:c r="A42" s="5"/>
      <x:c r="B42" s="5"/>
      <x:c r="C42" s="5"/>
      <x:c r="D42" s="5"/>
      <x:c r="E42" s="23"/>
      <x:c r="F42" s="7"/>
      <x:c r="G42" s="7"/>
      <x:c r="H42" s="6" t="str">
        <x:f>IF(COUNT(F42:G42)&lt;2,"",F42-G42)</x:f>
      </x:c>
      <x:c r="I42" s="5"/>
      <x:c r="J42" s="5"/>
      <x:c r="K42" s="2" t="str">
        <x:f>IF(A42="","",IF(COUNTIFS($A$7:$A$66,A42)&gt;1,"Duplicate expense ID",IF(OR(B42="",C42="",COUNT(F42)=0,I42=""),"Missing approval / fields",IF(COUNT(G42)=0,"Payment not recorded",IF(G42&gt;F42,"Paid exceeds commitment",IF(J42="","Receipt not recorded","Reconcile evidence"))))))</x:f>
      </x:c>
    </x:row>
    <x:row r="43" ht="23" customHeight="1">
      <x:c r="A43" s="5"/>
      <x:c r="B43" s="5"/>
      <x:c r="C43" s="5"/>
      <x:c r="D43" s="5"/>
      <x:c r="E43" s="23"/>
      <x:c r="F43" s="7"/>
      <x:c r="G43" s="7"/>
      <x:c r="H43" s="6" t="str">
        <x:f>IF(COUNT(F43:G43)&lt;2,"",F43-G43)</x:f>
      </x:c>
      <x:c r="I43" s="5"/>
      <x:c r="J43" s="5"/>
      <x:c r="K43" s="2" t="str">
        <x:f>IF(A43="","",IF(COUNTIFS($A$7:$A$66,A43)&gt;1,"Duplicate expense ID",IF(OR(B43="",C43="",COUNT(F43)=0,I43=""),"Missing approval / fields",IF(COUNT(G43)=0,"Payment not recorded",IF(G43&gt;F43,"Paid exceeds commitment",IF(J43="","Receipt not recorded","Reconcile evidence"))))))</x:f>
      </x:c>
    </x:row>
    <x:row r="44" ht="23" customHeight="1">
      <x:c r="A44" s="5"/>
      <x:c r="B44" s="5"/>
      <x:c r="C44" s="5"/>
      <x:c r="D44" s="5"/>
      <x:c r="E44" s="23"/>
      <x:c r="F44" s="7"/>
      <x:c r="G44" s="7"/>
      <x:c r="H44" s="6" t="str">
        <x:f>IF(COUNT(F44:G44)&lt;2,"",F44-G44)</x:f>
      </x:c>
      <x:c r="I44" s="5"/>
      <x:c r="J44" s="5"/>
      <x:c r="K44" s="2" t="str">
        <x:f>IF(A44="","",IF(COUNTIFS($A$7:$A$66,A44)&gt;1,"Duplicate expense ID",IF(OR(B44="",C44="",COUNT(F44)=0,I44=""),"Missing approval / fields",IF(COUNT(G44)=0,"Payment not recorded",IF(G44&gt;F44,"Paid exceeds commitment",IF(J44="","Receipt not recorded","Reconcile evidence"))))))</x:f>
      </x:c>
    </x:row>
    <x:row r="45" ht="23" customHeight="1">
      <x:c r="A45" s="5"/>
      <x:c r="B45" s="5"/>
      <x:c r="C45" s="5"/>
      <x:c r="D45" s="5"/>
      <x:c r="E45" s="23"/>
      <x:c r="F45" s="7"/>
      <x:c r="G45" s="7"/>
      <x:c r="H45" s="6" t="str">
        <x:f>IF(COUNT(F45:G45)&lt;2,"",F45-G45)</x:f>
      </x:c>
      <x:c r="I45" s="5"/>
      <x:c r="J45" s="5"/>
      <x:c r="K45" s="2" t="str">
        <x:f>IF(A45="","",IF(COUNTIFS($A$7:$A$66,A45)&gt;1,"Duplicate expense ID",IF(OR(B45="",C45="",COUNT(F45)=0,I45=""),"Missing approval / fields",IF(COUNT(G45)=0,"Payment not recorded",IF(G45&gt;F45,"Paid exceeds commitment",IF(J45="","Receipt not recorded","Reconcile evidence"))))))</x:f>
      </x:c>
    </x:row>
    <x:row r="46" ht="23" customHeight="1">
      <x:c r="A46" s="5"/>
      <x:c r="B46" s="5"/>
      <x:c r="C46" s="5"/>
      <x:c r="D46" s="5"/>
      <x:c r="E46" s="23"/>
      <x:c r="F46" s="7"/>
      <x:c r="G46" s="7"/>
      <x:c r="H46" s="6" t="str">
        <x:f>IF(COUNT(F46:G46)&lt;2,"",F46-G46)</x:f>
      </x:c>
      <x:c r="I46" s="5"/>
      <x:c r="J46" s="5"/>
      <x:c r="K46" s="2" t="str">
        <x:f>IF(A46="","",IF(COUNTIFS($A$7:$A$66,A46)&gt;1,"Duplicate expense ID",IF(OR(B46="",C46="",COUNT(F46)=0,I46=""),"Missing approval / fields",IF(COUNT(G46)=0,"Payment not recorded",IF(G46&gt;F46,"Paid exceeds commitment",IF(J46="","Receipt not recorded","Reconcile evidence"))))))</x:f>
      </x:c>
    </x:row>
    <x:row r="47" ht="23" customHeight="1">
      <x:c r="A47" s="5"/>
      <x:c r="B47" s="5"/>
      <x:c r="C47" s="5"/>
      <x:c r="D47" s="5"/>
      <x:c r="E47" s="23"/>
      <x:c r="F47" s="7"/>
      <x:c r="G47" s="7"/>
      <x:c r="H47" s="6" t="str">
        <x:f>IF(COUNT(F47:G47)&lt;2,"",F47-G47)</x:f>
      </x:c>
      <x:c r="I47" s="5"/>
      <x:c r="J47" s="5"/>
      <x:c r="K47" s="2" t="str">
        <x:f>IF(A47="","",IF(COUNTIFS($A$7:$A$66,A47)&gt;1,"Duplicate expense ID",IF(OR(B47="",C47="",COUNT(F47)=0,I47=""),"Missing approval / fields",IF(COUNT(G47)=0,"Payment not recorded",IF(G47&gt;F47,"Paid exceeds commitment",IF(J47="","Receipt not recorded","Reconcile evidence"))))))</x:f>
      </x:c>
    </x:row>
    <x:row r="48" ht="23" customHeight="1">
      <x:c r="A48" s="5"/>
      <x:c r="B48" s="5"/>
      <x:c r="C48" s="5"/>
      <x:c r="D48" s="5"/>
      <x:c r="E48" s="23"/>
      <x:c r="F48" s="7"/>
      <x:c r="G48" s="7"/>
      <x:c r="H48" s="6" t="str">
        <x:f>IF(COUNT(F48:G48)&lt;2,"",F48-G48)</x:f>
      </x:c>
      <x:c r="I48" s="5"/>
      <x:c r="J48" s="5"/>
      <x:c r="K48" s="2" t="str">
        <x:f>IF(A48="","",IF(COUNTIFS($A$7:$A$66,A48)&gt;1,"Duplicate expense ID",IF(OR(B48="",C48="",COUNT(F48)=0,I48=""),"Missing approval / fields",IF(COUNT(G48)=0,"Payment not recorded",IF(G48&gt;F48,"Paid exceeds commitment",IF(J48="","Receipt not recorded","Reconcile evidence"))))))</x:f>
      </x:c>
    </x:row>
    <x:row r="49" ht="23" customHeight="1">
      <x:c r="A49" s="5"/>
      <x:c r="B49" s="5"/>
      <x:c r="C49" s="5"/>
      <x:c r="D49" s="5"/>
      <x:c r="E49" s="23"/>
      <x:c r="F49" s="7"/>
      <x:c r="G49" s="7"/>
      <x:c r="H49" s="6" t="str">
        <x:f>IF(COUNT(F49:G49)&lt;2,"",F49-G49)</x:f>
      </x:c>
      <x:c r="I49" s="5"/>
      <x:c r="J49" s="5"/>
      <x:c r="K49" s="2" t="str">
        <x:f>IF(A49="","",IF(COUNTIFS($A$7:$A$66,A49)&gt;1,"Duplicate expense ID",IF(OR(B49="",C49="",COUNT(F49)=0,I49=""),"Missing approval / fields",IF(COUNT(G49)=0,"Payment not recorded",IF(G49&gt;F49,"Paid exceeds commitment",IF(J49="","Receipt not recorded","Reconcile evidence"))))))</x:f>
      </x:c>
    </x:row>
    <x:row r="50" ht="23" customHeight="1">
      <x:c r="A50" s="5"/>
      <x:c r="B50" s="5"/>
      <x:c r="C50" s="5"/>
      <x:c r="D50" s="5"/>
      <x:c r="E50" s="23"/>
      <x:c r="F50" s="7"/>
      <x:c r="G50" s="7"/>
      <x:c r="H50" s="6" t="str">
        <x:f>IF(COUNT(F50:G50)&lt;2,"",F50-G50)</x:f>
      </x:c>
      <x:c r="I50" s="5"/>
      <x:c r="J50" s="5"/>
      <x:c r="K50" s="2" t="str">
        <x:f>IF(A50="","",IF(COUNTIFS($A$7:$A$66,A50)&gt;1,"Duplicate expense ID",IF(OR(B50="",C50="",COUNT(F50)=0,I50=""),"Missing approval / fields",IF(COUNT(G50)=0,"Payment not recorded",IF(G50&gt;F50,"Paid exceeds commitment",IF(J50="","Receipt not recorded","Reconcile evidence"))))))</x:f>
      </x:c>
    </x:row>
    <x:row r="51" ht="23" customHeight="1">
      <x:c r="A51" s="5"/>
      <x:c r="B51" s="5"/>
      <x:c r="C51" s="5"/>
      <x:c r="D51" s="5"/>
      <x:c r="E51" s="23"/>
      <x:c r="F51" s="7"/>
      <x:c r="G51" s="7"/>
      <x:c r="H51" s="6" t="str">
        <x:f>IF(COUNT(F51:G51)&lt;2,"",F51-G51)</x:f>
      </x:c>
      <x:c r="I51" s="5"/>
      <x:c r="J51" s="5"/>
      <x:c r="K51" s="2" t="str">
        <x:f>IF(A51="","",IF(COUNTIFS($A$7:$A$66,A51)&gt;1,"Duplicate expense ID",IF(OR(B51="",C51="",COUNT(F51)=0,I51=""),"Missing approval / fields",IF(COUNT(G51)=0,"Payment not recorded",IF(G51&gt;F51,"Paid exceeds commitment",IF(J51="","Receipt not recorded","Reconcile evidence"))))))</x:f>
      </x:c>
    </x:row>
    <x:row r="52" ht="23" customHeight="1">
      <x:c r="A52" s="5"/>
      <x:c r="B52" s="5"/>
      <x:c r="C52" s="5"/>
      <x:c r="D52" s="5"/>
      <x:c r="E52" s="23"/>
      <x:c r="F52" s="7"/>
      <x:c r="G52" s="7"/>
      <x:c r="H52" s="6" t="str">
        <x:f>IF(COUNT(F52:G52)&lt;2,"",F52-G52)</x:f>
      </x:c>
      <x:c r="I52" s="5"/>
      <x:c r="J52" s="5"/>
      <x:c r="K52" s="2" t="str">
        <x:f>IF(A52="","",IF(COUNTIFS($A$7:$A$66,A52)&gt;1,"Duplicate expense ID",IF(OR(B52="",C52="",COUNT(F52)=0,I52=""),"Missing approval / fields",IF(COUNT(G52)=0,"Payment not recorded",IF(G52&gt;F52,"Paid exceeds commitment",IF(J52="","Receipt not recorded","Reconcile evidence"))))))</x:f>
      </x:c>
    </x:row>
    <x:row r="53" ht="23" customHeight="1">
      <x:c r="A53" s="5"/>
      <x:c r="B53" s="5"/>
      <x:c r="C53" s="5"/>
      <x:c r="D53" s="5"/>
      <x:c r="E53" s="23"/>
      <x:c r="F53" s="7"/>
      <x:c r="G53" s="7"/>
      <x:c r="H53" s="6" t="str">
        <x:f>IF(COUNT(F53:G53)&lt;2,"",F53-G53)</x:f>
      </x:c>
      <x:c r="I53" s="5"/>
      <x:c r="J53" s="5"/>
      <x:c r="K53" s="2" t="str">
        <x:f>IF(A53="","",IF(COUNTIFS($A$7:$A$66,A53)&gt;1,"Duplicate expense ID",IF(OR(B53="",C53="",COUNT(F53)=0,I53=""),"Missing approval / fields",IF(COUNT(G53)=0,"Payment not recorded",IF(G53&gt;F53,"Paid exceeds commitment",IF(J53="","Receipt not recorded","Reconcile evidence"))))))</x:f>
      </x:c>
    </x:row>
    <x:row r="54" ht="23" customHeight="1">
      <x:c r="A54" s="5"/>
      <x:c r="B54" s="5"/>
      <x:c r="C54" s="5"/>
      <x:c r="D54" s="5"/>
      <x:c r="E54" s="23"/>
      <x:c r="F54" s="7"/>
      <x:c r="G54" s="7"/>
      <x:c r="H54" s="6" t="str">
        <x:f>IF(COUNT(F54:G54)&lt;2,"",F54-G54)</x:f>
      </x:c>
      <x:c r="I54" s="5"/>
      <x:c r="J54" s="5"/>
      <x:c r="K54" s="2" t="str">
        <x:f>IF(A54="","",IF(COUNTIFS($A$7:$A$66,A54)&gt;1,"Duplicate expense ID",IF(OR(B54="",C54="",COUNT(F54)=0,I54=""),"Missing approval / fields",IF(COUNT(G54)=0,"Payment not recorded",IF(G54&gt;F54,"Paid exceeds commitment",IF(J54="","Receipt not recorded","Reconcile evidence"))))))</x:f>
      </x:c>
    </x:row>
    <x:row r="55" ht="23" customHeight="1">
      <x:c r="A55" s="5"/>
      <x:c r="B55" s="5"/>
      <x:c r="C55" s="5"/>
      <x:c r="D55" s="5"/>
      <x:c r="E55" s="23"/>
      <x:c r="F55" s="7"/>
      <x:c r="G55" s="7"/>
      <x:c r="H55" s="6" t="str">
        <x:f>IF(COUNT(F55:G55)&lt;2,"",F55-G55)</x:f>
      </x:c>
      <x:c r="I55" s="5"/>
      <x:c r="J55" s="5"/>
      <x:c r="K55" s="2" t="str">
        <x:f>IF(A55="","",IF(COUNTIFS($A$7:$A$66,A55)&gt;1,"Duplicate expense ID",IF(OR(B55="",C55="",COUNT(F55)=0,I55=""),"Missing approval / fields",IF(COUNT(G55)=0,"Payment not recorded",IF(G55&gt;F55,"Paid exceeds commitment",IF(J55="","Receipt not recorded","Reconcile evidence"))))))</x:f>
      </x:c>
    </x:row>
    <x:row r="56" ht="23" customHeight="1">
      <x:c r="A56" s="5"/>
      <x:c r="B56" s="5"/>
      <x:c r="C56" s="5"/>
      <x:c r="D56" s="5"/>
      <x:c r="E56" s="23"/>
      <x:c r="F56" s="7"/>
      <x:c r="G56" s="7"/>
      <x:c r="H56" s="6" t="str">
        <x:f>IF(COUNT(F56:G56)&lt;2,"",F56-G56)</x:f>
      </x:c>
      <x:c r="I56" s="5"/>
      <x:c r="J56" s="5"/>
      <x:c r="K56" s="2" t="str">
        <x:f>IF(A56="","",IF(COUNTIFS($A$7:$A$66,A56)&gt;1,"Duplicate expense ID",IF(OR(B56="",C56="",COUNT(F56)=0,I56=""),"Missing approval / fields",IF(COUNT(G56)=0,"Payment not recorded",IF(G56&gt;F56,"Paid exceeds commitment",IF(J56="","Receipt not recorded","Reconcile evidence"))))))</x:f>
      </x:c>
    </x:row>
    <x:row r="57" ht="23" customHeight="1">
      <x:c r="A57" s="5"/>
      <x:c r="B57" s="5"/>
      <x:c r="C57" s="5"/>
      <x:c r="D57" s="5"/>
      <x:c r="E57" s="23"/>
      <x:c r="F57" s="7"/>
      <x:c r="G57" s="7"/>
      <x:c r="H57" s="6" t="str">
        <x:f>IF(COUNT(F57:G57)&lt;2,"",F57-G57)</x:f>
      </x:c>
      <x:c r="I57" s="5"/>
      <x:c r="J57" s="5"/>
      <x:c r="K57" s="2" t="str">
        <x:f>IF(A57="","",IF(COUNTIFS($A$7:$A$66,A57)&gt;1,"Duplicate expense ID",IF(OR(B57="",C57="",COUNT(F57)=0,I57=""),"Missing approval / fields",IF(COUNT(G57)=0,"Payment not recorded",IF(G57&gt;F57,"Paid exceeds commitment",IF(J57="","Receipt not recorded","Reconcile evidence"))))))</x:f>
      </x:c>
    </x:row>
    <x:row r="58" ht="23" customHeight="1">
      <x:c r="A58" s="5"/>
      <x:c r="B58" s="5"/>
      <x:c r="C58" s="5"/>
      <x:c r="D58" s="5"/>
      <x:c r="E58" s="23"/>
      <x:c r="F58" s="7"/>
      <x:c r="G58" s="7"/>
      <x:c r="H58" s="6" t="str">
        <x:f>IF(COUNT(F58:G58)&lt;2,"",F58-G58)</x:f>
      </x:c>
      <x:c r="I58" s="5"/>
      <x:c r="J58" s="5"/>
      <x:c r="K58" s="2" t="str">
        <x:f>IF(A58="","",IF(COUNTIFS($A$7:$A$66,A58)&gt;1,"Duplicate expense ID",IF(OR(B58="",C58="",COUNT(F58)=0,I58=""),"Missing approval / fields",IF(COUNT(G58)=0,"Payment not recorded",IF(G58&gt;F58,"Paid exceeds commitment",IF(J58="","Receipt not recorded","Reconcile evidence"))))))</x:f>
      </x:c>
    </x:row>
    <x:row r="59" ht="23" customHeight="1">
      <x:c r="A59" s="5"/>
      <x:c r="B59" s="5"/>
      <x:c r="C59" s="5"/>
      <x:c r="D59" s="5"/>
      <x:c r="E59" s="23"/>
      <x:c r="F59" s="7"/>
      <x:c r="G59" s="7"/>
      <x:c r="H59" s="6" t="str">
        <x:f>IF(COUNT(F59:G59)&lt;2,"",F59-G59)</x:f>
      </x:c>
      <x:c r="I59" s="5"/>
      <x:c r="J59" s="5"/>
      <x:c r="K59" s="2" t="str">
        <x:f>IF(A59="","",IF(COUNTIFS($A$7:$A$66,A59)&gt;1,"Duplicate expense ID",IF(OR(B59="",C59="",COUNT(F59)=0,I59=""),"Missing approval / fields",IF(COUNT(G59)=0,"Payment not recorded",IF(G59&gt;F59,"Paid exceeds commitment",IF(J59="","Receipt not recorded","Reconcile evidence"))))))</x:f>
      </x:c>
    </x:row>
    <x:row r="60" ht="23" customHeight="1">
      <x:c r="A60" s="5"/>
      <x:c r="B60" s="5"/>
      <x:c r="C60" s="5"/>
      <x:c r="D60" s="5"/>
      <x:c r="E60" s="23"/>
      <x:c r="F60" s="7"/>
      <x:c r="G60" s="7"/>
      <x:c r="H60" s="6" t="str">
        <x:f>IF(COUNT(F60:G60)&lt;2,"",F60-G60)</x:f>
      </x:c>
      <x:c r="I60" s="5"/>
      <x:c r="J60" s="5"/>
      <x:c r="K60" s="2" t="str">
        <x:f>IF(A60="","",IF(COUNTIFS($A$7:$A$66,A60)&gt;1,"Duplicate expense ID",IF(OR(B60="",C60="",COUNT(F60)=0,I60=""),"Missing approval / fields",IF(COUNT(G60)=0,"Payment not recorded",IF(G60&gt;F60,"Paid exceeds commitment",IF(J60="","Receipt not recorded","Reconcile evidence"))))))</x:f>
      </x:c>
    </x:row>
    <x:row r="61" ht="23" customHeight="1">
      <x:c r="A61" s="5"/>
      <x:c r="B61" s="5"/>
      <x:c r="C61" s="5"/>
      <x:c r="D61" s="5"/>
      <x:c r="E61" s="23"/>
      <x:c r="F61" s="7"/>
      <x:c r="G61" s="7"/>
      <x:c r="H61" s="6" t="str">
        <x:f>IF(COUNT(F61:G61)&lt;2,"",F61-G61)</x:f>
      </x:c>
      <x:c r="I61" s="5"/>
      <x:c r="J61" s="5"/>
      <x:c r="K61" s="2" t="str">
        <x:f>IF(A61="","",IF(COUNTIFS($A$7:$A$66,A61)&gt;1,"Duplicate expense ID",IF(OR(B61="",C61="",COUNT(F61)=0,I61=""),"Missing approval / fields",IF(COUNT(G61)=0,"Payment not recorded",IF(G61&gt;F61,"Paid exceeds commitment",IF(J61="","Receipt not recorded","Reconcile evidence"))))))</x:f>
      </x:c>
    </x:row>
    <x:row r="62" ht="23" customHeight="1">
      <x:c r="A62" s="5"/>
      <x:c r="B62" s="5"/>
      <x:c r="C62" s="5"/>
      <x:c r="D62" s="5"/>
      <x:c r="E62" s="23"/>
      <x:c r="F62" s="7"/>
      <x:c r="G62" s="7"/>
      <x:c r="H62" s="6" t="str">
        <x:f>IF(COUNT(F62:G62)&lt;2,"",F62-G62)</x:f>
      </x:c>
      <x:c r="I62" s="5"/>
      <x:c r="J62" s="5"/>
      <x:c r="K62" s="2" t="str">
        <x:f>IF(A62="","",IF(COUNTIFS($A$7:$A$66,A62)&gt;1,"Duplicate expense ID",IF(OR(B62="",C62="",COUNT(F62)=0,I62=""),"Missing approval / fields",IF(COUNT(G62)=0,"Payment not recorded",IF(G62&gt;F62,"Paid exceeds commitment",IF(J62="","Receipt not recorded","Reconcile evidence"))))))</x:f>
      </x:c>
    </x:row>
    <x:row r="63" ht="23" customHeight="1">
      <x:c r="A63" s="5"/>
      <x:c r="B63" s="5"/>
      <x:c r="C63" s="5"/>
      <x:c r="D63" s="5"/>
      <x:c r="E63" s="23"/>
      <x:c r="F63" s="7"/>
      <x:c r="G63" s="7"/>
      <x:c r="H63" s="6" t="str">
        <x:f>IF(COUNT(F63:G63)&lt;2,"",F63-G63)</x:f>
      </x:c>
      <x:c r="I63" s="5"/>
      <x:c r="J63" s="5"/>
      <x:c r="K63" s="2" t="str">
        <x:f>IF(A63="","",IF(COUNTIFS($A$7:$A$66,A63)&gt;1,"Duplicate expense ID",IF(OR(B63="",C63="",COUNT(F63)=0,I63=""),"Missing approval / fields",IF(COUNT(G63)=0,"Payment not recorded",IF(G63&gt;F63,"Paid exceeds commitment",IF(J63="","Receipt not recorded","Reconcile evidence"))))))</x:f>
      </x:c>
    </x:row>
    <x:row r="64" ht="23" customHeight="1">
      <x:c r="A64" s="5"/>
      <x:c r="B64" s="5"/>
      <x:c r="C64" s="5"/>
      <x:c r="D64" s="5"/>
      <x:c r="E64" s="23"/>
      <x:c r="F64" s="7"/>
      <x:c r="G64" s="7"/>
      <x:c r="H64" s="6" t="str">
        <x:f>IF(COUNT(F64:G64)&lt;2,"",F64-G64)</x:f>
      </x:c>
      <x:c r="I64" s="5"/>
      <x:c r="J64" s="5"/>
      <x:c r="K64" s="2" t="str">
        <x:f>IF(A64="","",IF(COUNTIFS($A$7:$A$66,A64)&gt;1,"Duplicate expense ID",IF(OR(B64="",C64="",COUNT(F64)=0,I64=""),"Missing approval / fields",IF(COUNT(G64)=0,"Payment not recorded",IF(G64&gt;F64,"Paid exceeds commitment",IF(J64="","Receipt not recorded","Reconcile evidence"))))))</x:f>
      </x:c>
    </x:row>
    <x:row r="65" ht="23" customHeight="1">
      <x:c r="A65" s="5"/>
      <x:c r="B65" s="5"/>
      <x:c r="C65" s="5"/>
      <x:c r="D65" s="5"/>
      <x:c r="E65" s="23"/>
      <x:c r="F65" s="7"/>
      <x:c r="G65" s="7"/>
      <x:c r="H65" s="6" t="str">
        <x:f>IF(COUNT(F65:G65)&lt;2,"",F65-G65)</x:f>
      </x:c>
      <x:c r="I65" s="5"/>
      <x:c r="J65" s="5"/>
      <x:c r="K65" s="2" t="str">
        <x:f>IF(A65="","",IF(COUNTIFS($A$7:$A$66,A65)&gt;1,"Duplicate expense ID",IF(OR(B65="",C65="",COUNT(F65)=0,I65=""),"Missing approval / fields",IF(COUNT(G65)=0,"Payment not recorded",IF(G65&gt;F65,"Paid exceeds commitment",IF(J65="","Receipt not recorded","Reconcile evidence"))))))</x:f>
      </x:c>
    </x:row>
    <x:row r="66" ht="23" customHeight="1">
      <x:c r="A66" s="5"/>
      <x:c r="B66" s="5"/>
      <x:c r="C66" s="5"/>
      <x:c r="D66" s="5"/>
      <x:c r="E66" s="23"/>
      <x:c r="F66" s="7"/>
      <x:c r="G66" s="7"/>
      <x:c r="H66" s="6" t="str">
        <x:f>IF(COUNT(F66:G66)&lt;2,"",F66-G66)</x:f>
      </x:c>
      <x:c r="I66" s="5"/>
      <x:c r="J66" s="5"/>
      <x:c r="K66" s="2" t="str">
        <x:f>IF(A66="","",IF(COUNTIFS($A$7:$A$66,A66)&gt;1,"Duplicate expense ID",IF(OR(B66="",C66="",COUNT(F66)=0,I66=""),"Missing approval / fields",IF(COUNT(G66)=0,"Payment not recorded",IF(G66&gt;F66,"Paid exceeds commitment",IF(J66="","Receipt not recorded","Reconcile evidence"))))))</x:f>
      </x:c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</x:sheetData>
  <x:conditionalFormatting sqref="H7:H66">
    <x:cfRule type="cellIs" dxfId="2" priority="1" operator="lessThan">
      <x:formula>0</x:formula>
    </x:cfRule>
  </x:conditionalFormatting>
  <x:dataValidations count="1">
    <x:dataValidation type="list" sqref="B7:B66">
      <x:formula1>"Coordinator,Field researcher,Local vehicle,Host time / materials,Odia–English interpretation,Field meals, water and admissions,Editorial and data review,Access adjustments"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a835478b2840fc"/>
  </x:tableParts>
</x:worksheet>
</file>